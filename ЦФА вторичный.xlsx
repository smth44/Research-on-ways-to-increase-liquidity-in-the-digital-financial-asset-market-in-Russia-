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A95A53-098F-4938-94CA-4E54D89DA4F5}" xr6:coauthVersionLast="47" xr6:coauthVersionMax="47" xr10:uidLastSave="{00000000-0000-0000-0000-000000000000}"/>
  <bookViews>
    <workbookView xWindow="-108" yWindow="-108" windowWidth="23256" windowHeight="12456" activeTab="3" xr2:uid="{E1A23208-B131-4F76-9A25-43DD5C1FD50F}"/>
  </bookViews>
  <sheets>
    <sheet name="Токеон" sheetId="1" r:id="rId1"/>
    <sheet name="А-токен" sheetId="2" r:id="rId2"/>
    <sheet name="Атомайз" sheetId="3" r:id="rId3"/>
    <sheet name="Total" sheetId="5" r:id="rId4"/>
    <sheet name="Лист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9" i="6" l="1"/>
  <c r="G197" i="6"/>
  <c r="D197" i="6"/>
  <c r="D196" i="6"/>
  <c r="D195" i="6"/>
  <c r="G194" i="6"/>
  <c r="D194" i="6"/>
  <c r="G193" i="6"/>
  <c r="D193" i="6"/>
  <c r="D192" i="6"/>
  <c r="D191" i="6"/>
  <c r="D190" i="6"/>
  <c r="I189" i="6"/>
  <c r="G189" i="6"/>
  <c r="D189" i="6"/>
  <c r="J188" i="6"/>
  <c r="G188" i="6"/>
  <c r="J187" i="6"/>
  <c r="G187" i="6"/>
  <c r="J186" i="6"/>
  <c r="G186" i="6"/>
  <c r="J185" i="6"/>
  <c r="G185" i="6"/>
  <c r="J184" i="6"/>
  <c r="G184" i="6"/>
  <c r="J183" i="6"/>
  <c r="G183" i="6"/>
  <c r="J182" i="6"/>
  <c r="G182" i="6"/>
  <c r="G181" i="6"/>
  <c r="J180" i="6"/>
  <c r="G180" i="6"/>
  <c r="J179" i="6"/>
  <c r="G179" i="6"/>
  <c r="J178" i="6"/>
  <c r="G178" i="6"/>
  <c r="J177" i="6"/>
  <c r="G177" i="6"/>
  <c r="J176" i="6"/>
  <c r="G176" i="6"/>
  <c r="J175" i="6"/>
  <c r="G175" i="6"/>
  <c r="J174" i="6"/>
  <c r="G174" i="6"/>
  <c r="J173" i="6"/>
  <c r="G173" i="6"/>
  <c r="J172" i="6"/>
  <c r="G172" i="6"/>
  <c r="J171" i="6"/>
  <c r="G171" i="6"/>
  <c r="J170" i="6"/>
  <c r="G170" i="6"/>
  <c r="J169" i="6"/>
  <c r="G169" i="6"/>
  <c r="J168" i="6"/>
  <c r="G168" i="6"/>
  <c r="J167" i="6"/>
  <c r="G167" i="6"/>
  <c r="J166" i="6"/>
  <c r="G166" i="6"/>
  <c r="J165" i="6"/>
  <c r="G165" i="6"/>
  <c r="J164" i="6"/>
  <c r="G164" i="6"/>
  <c r="J163" i="6"/>
  <c r="G163" i="6"/>
  <c r="G162" i="6"/>
  <c r="G161" i="6"/>
  <c r="G160" i="6"/>
  <c r="J159" i="6"/>
  <c r="G159" i="6"/>
  <c r="G158" i="6"/>
  <c r="G157" i="6"/>
  <c r="G156" i="6"/>
  <c r="G155" i="6"/>
  <c r="J154" i="6"/>
  <c r="G154" i="6"/>
  <c r="G153" i="6"/>
  <c r="G152" i="6"/>
  <c r="J151" i="6"/>
  <c r="I151" i="6"/>
  <c r="G151" i="6"/>
  <c r="G150" i="6"/>
  <c r="G149" i="6"/>
  <c r="G148" i="6"/>
  <c r="G147" i="6"/>
  <c r="G146" i="6"/>
  <c r="G145" i="6"/>
  <c r="J144" i="6"/>
  <c r="G144" i="6"/>
  <c r="G143" i="6"/>
  <c r="J142" i="6"/>
  <c r="G142" i="6"/>
  <c r="G141" i="6"/>
  <c r="J140" i="6"/>
  <c r="G140" i="6"/>
  <c r="G139" i="6"/>
  <c r="J138" i="6"/>
  <c r="G138" i="6"/>
  <c r="J137" i="6"/>
  <c r="G137" i="6"/>
  <c r="J135" i="6"/>
  <c r="G135" i="6"/>
  <c r="J134" i="6"/>
  <c r="G134" i="6"/>
  <c r="G133" i="6"/>
  <c r="J132" i="6"/>
  <c r="G132" i="6"/>
  <c r="J131" i="6"/>
  <c r="G131" i="6"/>
  <c r="G130" i="6"/>
  <c r="G129" i="6"/>
  <c r="G128" i="6"/>
  <c r="G127" i="6"/>
  <c r="J126" i="6"/>
  <c r="G126" i="6"/>
  <c r="J125" i="6"/>
  <c r="G124" i="6"/>
  <c r="G122" i="6"/>
  <c r="G121" i="6"/>
  <c r="J119" i="6"/>
  <c r="G119" i="6"/>
  <c r="J118" i="6"/>
  <c r="G118" i="6"/>
  <c r="G117" i="6"/>
  <c r="G116" i="6"/>
  <c r="J115" i="6"/>
  <c r="G115" i="6"/>
  <c r="J114" i="6"/>
  <c r="G114" i="6"/>
  <c r="G113" i="6"/>
  <c r="J112" i="6"/>
  <c r="G112" i="6"/>
  <c r="J111" i="6"/>
  <c r="G110" i="6"/>
  <c r="G108" i="6"/>
  <c r="J107" i="6"/>
  <c r="G107" i="6"/>
  <c r="J106" i="6"/>
  <c r="G106" i="6"/>
  <c r="J105" i="6"/>
  <c r="G105" i="6"/>
  <c r="J104" i="6"/>
  <c r="J103" i="6"/>
  <c r="I103" i="6"/>
  <c r="G103" i="6"/>
  <c r="J102" i="6"/>
  <c r="I102" i="6"/>
  <c r="G102" i="6"/>
  <c r="J101" i="6"/>
  <c r="G101" i="6"/>
  <c r="J100" i="6"/>
  <c r="G100" i="6"/>
  <c r="J98" i="6"/>
  <c r="G98" i="6"/>
  <c r="J97" i="6"/>
  <c r="G97" i="6"/>
  <c r="J96" i="6"/>
  <c r="G95" i="6"/>
  <c r="J94" i="6"/>
  <c r="G94" i="6"/>
  <c r="J93" i="6"/>
  <c r="J92" i="6"/>
  <c r="G92" i="6"/>
  <c r="G91" i="6"/>
  <c r="J90" i="6"/>
  <c r="G90" i="6"/>
  <c r="J89" i="6"/>
  <c r="J88" i="6"/>
  <c r="I88" i="6"/>
  <c r="G88" i="6"/>
  <c r="G87" i="6"/>
  <c r="J86" i="6"/>
  <c r="G86" i="6"/>
  <c r="G85" i="6"/>
  <c r="J84" i="6"/>
  <c r="I84" i="6"/>
  <c r="G84" i="6"/>
  <c r="G83" i="6"/>
  <c r="G82" i="6"/>
  <c r="J81" i="6"/>
  <c r="I81" i="6"/>
  <c r="G81" i="6"/>
  <c r="J80" i="6"/>
  <c r="G80" i="6"/>
  <c r="G79" i="6"/>
  <c r="G78" i="6"/>
  <c r="G77" i="6"/>
  <c r="G76" i="6"/>
  <c r="G75" i="6"/>
  <c r="G74" i="6"/>
  <c r="G73" i="6"/>
  <c r="G72" i="6"/>
  <c r="G69" i="6"/>
  <c r="G68" i="6"/>
  <c r="J67" i="6"/>
  <c r="G67" i="6"/>
  <c r="G66" i="6"/>
  <c r="J65" i="6"/>
  <c r="G65" i="6"/>
  <c r="G64" i="6"/>
  <c r="J63" i="6"/>
  <c r="G63" i="6"/>
  <c r="G62" i="6"/>
  <c r="G60" i="6"/>
  <c r="J59" i="6"/>
  <c r="I59" i="6"/>
  <c r="G59" i="6"/>
  <c r="J58" i="6"/>
  <c r="G58" i="6"/>
  <c r="J56" i="6"/>
  <c r="G56" i="6"/>
  <c r="G55" i="6"/>
  <c r="G54" i="6"/>
  <c r="J53" i="6"/>
  <c r="I53" i="6"/>
  <c r="G53" i="6"/>
  <c r="G52" i="6"/>
  <c r="J51" i="6"/>
  <c r="G51" i="6"/>
  <c r="G50" i="6"/>
  <c r="G49" i="6"/>
  <c r="G48" i="6"/>
  <c r="G47" i="6"/>
  <c r="J46" i="6"/>
  <c r="G46" i="6"/>
  <c r="G45" i="6"/>
  <c r="G44" i="6"/>
  <c r="G43" i="6"/>
  <c r="G42" i="6"/>
  <c r="G41" i="6"/>
  <c r="J40" i="6"/>
  <c r="G40" i="6"/>
  <c r="G39" i="6"/>
  <c r="G38" i="6"/>
  <c r="J37" i="6"/>
  <c r="G37" i="6"/>
  <c r="G36" i="6"/>
  <c r="G35" i="6"/>
  <c r="G34" i="6"/>
  <c r="J33" i="6"/>
  <c r="G33" i="6"/>
  <c r="G32" i="6"/>
  <c r="G31" i="6"/>
  <c r="G27" i="6"/>
  <c r="G26" i="6"/>
  <c r="G22" i="6"/>
  <c r="G21" i="6"/>
  <c r="G17" i="6"/>
  <c r="G16" i="6"/>
  <c r="J15" i="6"/>
  <c r="I15" i="6"/>
  <c r="G15" i="6"/>
  <c r="J14" i="6"/>
  <c r="I14" i="6"/>
  <c r="G14" i="6"/>
  <c r="G13" i="6"/>
  <c r="G12" i="6"/>
  <c r="J11" i="6"/>
  <c r="I11" i="6"/>
  <c r="G11" i="6"/>
  <c r="G10" i="6"/>
  <c r="G9" i="6"/>
  <c r="G8" i="6"/>
  <c r="J7" i="6"/>
  <c r="G7" i="6"/>
  <c r="J6" i="6"/>
  <c r="I6" i="6"/>
  <c r="G6" i="6"/>
  <c r="J5" i="6"/>
  <c r="G5" i="6"/>
  <c r="J4" i="6"/>
  <c r="G4" i="6"/>
  <c r="G3" i="6"/>
  <c r="G2" i="6"/>
  <c r="G175" i="5"/>
  <c r="G155" i="5"/>
  <c r="G152" i="5"/>
  <c r="G149" i="5"/>
  <c r="G144" i="5"/>
  <c r="G136" i="5"/>
  <c r="G138" i="5"/>
  <c r="J2" i="5"/>
  <c r="G2" i="5"/>
  <c r="G3" i="5"/>
  <c r="G5" i="5"/>
  <c r="G4" i="5"/>
  <c r="J7" i="5"/>
  <c r="G7" i="5"/>
  <c r="G6" i="5"/>
  <c r="G8" i="5"/>
  <c r="G9" i="5"/>
  <c r="G10" i="5"/>
  <c r="J12" i="5"/>
  <c r="G12" i="5"/>
  <c r="G11" i="5"/>
  <c r="G13" i="5"/>
  <c r="J14" i="5"/>
  <c r="I14" i="5"/>
  <c r="G14" i="5"/>
  <c r="G15" i="5"/>
  <c r="G16" i="5"/>
  <c r="G17" i="5"/>
  <c r="G18" i="5"/>
  <c r="G19" i="5"/>
  <c r="G20" i="5"/>
  <c r="J21" i="5"/>
  <c r="G21" i="5"/>
  <c r="G22" i="5"/>
  <c r="J23" i="5"/>
  <c r="G23" i="5"/>
  <c r="G24" i="5"/>
  <c r="J25" i="5"/>
  <c r="G25" i="5"/>
  <c r="G26" i="5"/>
  <c r="J27" i="5"/>
  <c r="G27" i="5"/>
  <c r="J32" i="5"/>
  <c r="G32" i="5"/>
  <c r="J33" i="5"/>
  <c r="G33" i="5"/>
  <c r="J34" i="5"/>
  <c r="G34" i="5"/>
  <c r="G38" i="5"/>
  <c r="J37" i="5"/>
  <c r="G37" i="5"/>
  <c r="J39" i="5"/>
  <c r="G39" i="5"/>
  <c r="G40" i="5"/>
  <c r="G47" i="5"/>
  <c r="G41" i="5"/>
  <c r="G42" i="5"/>
  <c r="J43" i="5"/>
  <c r="G43" i="5"/>
  <c r="J44" i="5"/>
  <c r="G45" i="5"/>
  <c r="G48" i="5"/>
  <c r="G50" i="5"/>
  <c r="J52" i="5"/>
  <c r="G52" i="5"/>
  <c r="J53" i="5"/>
  <c r="G53" i="5"/>
  <c r="G55" i="5"/>
  <c r="G54" i="5"/>
  <c r="J57" i="5"/>
  <c r="G57" i="5"/>
  <c r="J59" i="5"/>
  <c r="G59" i="5"/>
  <c r="G58" i="5"/>
  <c r="J60" i="5"/>
  <c r="G60" i="5"/>
  <c r="J62" i="5"/>
  <c r="G63" i="5"/>
  <c r="G65" i="5"/>
  <c r="J66" i="5"/>
  <c r="G66" i="5"/>
  <c r="J68" i="5"/>
  <c r="G68" i="5"/>
  <c r="J69" i="5"/>
  <c r="G69" i="5"/>
  <c r="J70" i="5"/>
  <c r="J71" i="5"/>
  <c r="I71" i="5"/>
  <c r="G71" i="5"/>
  <c r="J73" i="5"/>
  <c r="I73" i="5"/>
  <c r="G73" i="5"/>
  <c r="J74" i="5"/>
  <c r="G74" i="5"/>
  <c r="J77" i="5"/>
  <c r="G77" i="5"/>
  <c r="J75" i="5"/>
  <c r="G75" i="5"/>
  <c r="J78" i="5"/>
  <c r="G78" i="5"/>
  <c r="J82" i="5"/>
  <c r="G84" i="5"/>
  <c r="J83" i="5"/>
  <c r="G83" i="5"/>
  <c r="J87" i="5"/>
  <c r="J90" i="5"/>
  <c r="G90" i="5"/>
  <c r="G89" i="5"/>
  <c r="J91" i="5"/>
  <c r="G91" i="5"/>
  <c r="J92" i="5"/>
  <c r="J95" i="5"/>
  <c r="I95" i="5"/>
  <c r="G95" i="5"/>
  <c r="G96" i="5"/>
  <c r="J97" i="5"/>
  <c r="G97" i="5"/>
  <c r="G99" i="5"/>
  <c r="J98" i="5"/>
  <c r="I98" i="5"/>
  <c r="G98" i="5"/>
  <c r="G101" i="5"/>
  <c r="G102" i="5"/>
  <c r="J103" i="5"/>
  <c r="I103" i="5"/>
  <c r="G103" i="5"/>
  <c r="J104" i="5"/>
  <c r="G104" i="5"/>
  <c r="G106" i="5"/>
  <c r="G109" i="5"/>
  <c r="G107" i="5"/>
  <c r="G108" i="5"/>
  <c r="G110" i="5"/>
  <c r="G113" i="5"/>
  <c r="G112" i="5"/>
  <c r="G111" i="5"/>
  <c r="G115" i="5"/>
  <c r="G117" i="5"/>
  <c r="J120" i="5"/>
  <c r="G120" i="5"/>
  <c r="G119" i="5"/>
  <c r="J121" i="5"/>
  <c r="G121" i="5"/>
  <c r="G123" i="5"/>
  <c r="J122" i="5"/>
  <c r="G122" i="5"/>
  <c r="G127" i="5"/>
  <c r="G125" i="5"/>
  <c r="J124" i="5"/>
  <c r="I124" i="5"/>
  <c r="G124" i="5"/>
  <c r="J130" i="5"/>
  <c r="G130" i="5"/>
  <c r="J133" i="5"/>
  <c r="G133" i="5"/>
  <c r="G132" i="5"/>
  <c r="G131" i="5"/>
  <c r="J135" i="5"/>
  <c r="I135" i="5"/>
  <c r="G135" i="5"/>
  <c r="J137" i="5"/>
  <c r="G137" i="5"/>
  <c r="G140" i="5"/>
  <c r="G139" i="5"/>
  <c r="G142" i="5"/>
  <c r="J143" i="5"/>
  <c r="G143" i="5"/>
  <c r="G146" i="5"/>
  <c r="G145" i="5"/>
  <c r="G148" i="5"/>
  <c r="J150" i="5"/>
  <c r="G150" i="5"/>
  <c r="G151" i="5"/>
  <c r="G154" i="5"/>
  <c r="J153" i="5"/>
  <c r="G153" i="5"/>
  <c r="G159" i="5"/>
  <c r="J158" i="5"/>
  <c r="G158" i="5"/>
  <c r="G157" i="5"/>
  <c r="G156" i="5"/>
  <c r="G171" i="5"/>
  <c r="G170" i="5"/>
  <c r="G166" i="5"/>
  <c r="G165" i="5"/>
  <c r="G177" i="5"/>
  <c r="G176" i="5"/>
  <c r="J178" i="5"/>
  <c r="I178" i="5"/>
  <c r="G178" i="5"/>
  <c r="J182" i="5"/>
  <c r="I182" i="5"/>
  <c r="G182" i="5"/>
  <c r="G183" i="5"/>
  <c r="G185" i="5"/>
  <c r="J186" i="5"/>
  <c r="I186" i="5"/>
  <c r="G186" i="5"/>
  <c r="G187" i="5"/>
  <c r="G190" i="5"/>
  <c r="G189" i="5"/>
  <c r="J188" i="5"/>
  <c r="G188" i="5"/>
  <c r="J191" i="5"/>
  <c r="I191" i="5"/>
  <c r="G191" i="5"/>
  <c r="J194" i="5"/>
  <c r="G194" i="5"/>
  <c r="J195" i="5"/>
  <c r="G195" i="5"/>
  <c r="G197" i="5"/>
  <c r="G161" i="5"/>
  <c r="G30" i="5"/>
  <c r="D30" i="5"/>
  <c r="D199" i="5"/>
  <c r="D196" i="5"/>
  <c r="G198" i="5"/>
  <c r="D198" i="5"/>
  <c r="G147" i="5"/>
  <c r="D147" i="5"/>
  <c r="D29" i="5"/>
  <c r="D100" i="5"/>
  <c r="D128" i="5"/>
  <c r="I118" i="5"/>
  <c r="D118" i="5" s="1"/>
  <c r="G118" i="5"/>
  <c r="J93" i="5"/>
  <c r="G93" i="5"/>
  <c r="J181" i="5"/>
  <c r="G181" i="5"/>
  <c r="J94" i="5"/>
  <c r="G94" i="5"/>
  <c r="J80" i="5"/>
  <c r="G80" i="5"/>
  <c r="J36" i="5"/>
  <c r="G36" i="5"/>
  <c r="J105" i="5"/>
  <c r="G105" i="5"/>
  <c r="J86" i="5"/>
  <c r="G86" i="5"/>
  <c r="G28" i="5"/>
  <c r="J67" i="5"/>
  <c r="G67" i="5"/>
  <c r="J56" i="5"/>
  <c r="G56" i="5"/>
  <c r="J141" i="5"/>
  <c r="G141" i="5"/>
  <c r="J85" i="5"/>
  <c r="G85" i="5"/>
  <c r="J79" i="5"/>
  <c r="G79" i="5"/>
  <c r="J49" i="5"/>
  <c r="G49" i="5"/>
  <c r="J35" i="5"/>
  <c r="G35" i="5"/>
  <c r="J61" i="5"/>
  <c r="G61" i="5"/>
  <c r="J180" i="5"/>
  <c r="G180" i="5"/>
  <c r="J72" i="5"/>
  <c r="G72" i="5"/>
  <c r="J88" i="5"/>
  <c r="G88" i="5"/>
  <c r="J192" i="5"/>
  <c r="G192" i="5"/>
  <c r="J179" i="5"/>
  <c r="G179" i="5"/>
  <c r="J81" i="5"/>
  <c r="G81" i="5"/>
  <c r="J160" i="5"/>
  <c r="G160" i="5"/>
  <c r="J200" i="5"/>
  <c r="G200" i="5"/>
  <c r="J134" i="5"/>
  <c r="G134" i="5"/>
  <c r="F12" i="1"/>
  <c r="F10" i="1"/>
  <c r="C9" i="1"/>
  <c r="C3" i="1"/>
  <c r="C4" i="1"/>
  <c r="C5" i="1"/>
  <c r="C6" i="1"/>
  <c r="C7" i="1"/>
  <c r="C8" i="1"/>
  <c r="C10" i="1"/>
  <c r="C2" i="1"/>
  <c r="H2" i="1"/>
  <c r="F2" i="1"/>
  <c r="G34" i="2"/>
  <c r="G33" i="2"/>
  <c r="J33" i="2"/>
  <c r="G32" i="2"/>
  <c r="G27" i="2"/>
  <c r="G26" i="2"/>
  <c r="J26" i="3"/>
  <c r="G26" i="3"/>
  <c r="J25" i="3"/>
  <c r="G25" i="3"/>
  <c r="J24" i="3"/>
  <c r="G24" i="3"/>
  <c r="J23" i="3"/>
  <c r="G23" i="3"/>
  <c r="J22" i="3"/>
  <c r="G22" i="3"/>
  <c r="J21" i="3"/>
  <c r="G21" i="3"/>
  <c r="J20" i="3"/>
  <c r="G20" i="3"/>
  <c r="G19" i="3"/>
  <c r="J18" i="3"/>
  <c r="G18" i="3"/>
  <c r="J17" i="3"/>
  <c r="G17" i="3"/>
  <c r="J16" i="3"/>
  <c r="G16" i="3"/>
  <c r="J15" i="3"/>
  <c r="G15" i="3"/>
  <c r="J14" i="3"/>
  <c r="G14" i="3"/>
  <c r="J13" i="3"/>
  <c r="G13" i="3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2" i="3"/>
  <c r="G2" i="3"/>
  <c r="J163" i="2"/>
  <c r="G163" i="2"/>
  <c r="G162" i="2"/>
  <c r="G161" i="2"/>
  <c r="G160" i="2"/>
  <c r="J159" i="2"/>
  <c r="G159" i="2"/>
  <c r="G158" i="2"/>
  <c r="G157" i="2"/>
  <c r="G156" i="2"/>
  <c r="G155" i="2"/>
  <c r="J154" i="2"/>
  <c r="G154" i="2"/>
  <c r="G153" i="2"/>
  <c r="G152" i="2"/>
  <c r="J151" i="2"/>
  <c r="I151" i="2"/>
  <c r="G151" i="2"/>
  <c r="G150" i="2"/>
  <c r="G149" i="2"/>
  <c r="G148" i="2"/>
  <c r="G147" i="2"/>
  <c r="G146" i="2"/>
  <c r="G145" i="2"/>
  <c r="J144" i="2"/>
  <c r="G144" i="2"/>
  <c r="G143" i="2"/>
  <c r="J142" i="2"/>
  <c r="G142" i="2"/>
  <c r="G141" i="2"/>
  <c r="J140" i="2"/>
  <c r="G140" i="2"/>
  <c r="G139" i="2"/>
  <c r="J138" i="2"/>
  <c r="G138" i="2"/>
  <c r="J137" i="2"/>
  <c r="G137" i="2"/>
  <c r="J135" i="2"/>
  <c r="G135" i="2"/>
  <c r="J134" i="2"/>
  <c r="G134" i="2"/>
  <c r="G133" i="2"/>
  <c r="J132" i="2"/>
  <c r="G132" i="2"/>
  <c r="J131" i="2"/>
  <c r="G131" i="2"/>
  <c r="G130" i="2"/>
  <c r="G129" i="2"/>
  <c r="G128" i="2"/>
  <c r="G127" i="2"/>
  <c r="J126" i="2"/>
  <c r="G126" i="2"/>
  <c r="J125" i="2"/>
  <c r="G124" i="2"/>
  <c r="G122" i="2"/>
  <c r="G121" i="2"/>
  <c r="J119" i="2"/>
  <c r="G119" i="2"/>
  <c r="J118" i="2"/>
  <c r="G118" i="2"/>
  <c r="G117" i="2"/>
  <c r="G116" i="2"/>
  <c r="J115" i="2"/>
  <c r="G115" i="2"/>
  <c r="J114" i="2"/>
  <c r="G114" i="2"/>
  <c r="G113" i="2"/>
  <c r="J112" i="2"/>
  <c r="G112" i="2"/>
  <c r="J111" i="2"/>
  <c r="G110" i="2"/>
  <c r="G108" i="2"/>
  <c r="J107" i="2"/>
  <c r="G107" i="2"/>
  <c r="J106" i="2"/>
  <c r="G106" i="2"/>
  <c r="J105" i="2"/>
  <c r="G105" i="2"/>
  <c r="J104" i="2"/>
  <c r="J103" i="2"/>
  <c r="I103" i="2"/>
  <c r="G103" i="2"/>
  <c r="J102" i="2"/>
  <c r="I102" i="2"/>
  <c r="G102" i="2"/>
  <c r="J101" i="2"/>
  <c r="G101" i="2"/>
  <c r="J100" i="2"/>
  <c r="G100" i="2"/>
  <c r="J98" i="2"/>
  <c r="G98" i="2"/>
  <c r="J97" i="2"/>
  <c r="G97" i="2"/>
  <c r="J96" i="2"/>
  <c r="G95" i="2"/>
  <c r="J94" i="2"/>
  <c r="G94" i="2"/>
  <c r="J93" i="2"/>
  <c r="J92" i="2"/>
  <c r="G92" i="2"/>
  <c r="G91" i="2"/>
  <c r="J90" i="2"/>
  <c r="G90" i="2"/>
  <c r="J89" i="2"/>
  <c r="J88" i="2"/>
  <c r="I88" i="2"/>
  <c r="G88" i="2"/>
  <c r="G87" i="2"/>
  <c r="J86" i="2"/>
  <c r="G86" i="2"/>
  <c r="G85" i="2"/>
  <c r="J84" i="2"/>
  <c r="I84" i="2"/>
  <c r="G84" i="2"/>
  <c r="G83" i="2"/>
  <c r="G82" i="2"/>
  <c r="J81" i="2"/>
  <c r="I81" i="2"/>
  <c r="G81" i="2"/>
  <c r="J80" i="2"/>
  <c r="G80" i="2"/>
  <c r="G79" i="2"/>
  <c r="G78" i="2"/>
  <c r="G77" i="2"/>
  <c r="G76" i="2"/>
  <c r="G75" i="2"/>
  <c r="G74" i="2"/>
  <c r="G73" i="2"/>
  <c r="G72" i="2"/>
  <c r="G69" i="2"/>
  <c r="G68" i="2"/>
  <c r="J67" i="2"/>
  <c r="G67" i="2"/>
  <c r="G66" i="2"/>
  <c r="J65" i="2"/>
  <c r="G65" i="2"/>
  <c r="G64" i="2"/>
  <c r="J63" i="2"/>
  <c r="G63" i="2"/>
  <c r="G62" i="2"/>
  <c r="G60" i="2"/>
  <c r="I59" i="2"/>
  <c r="J59" i="2"/>
  <c r="G59" i="2"/>
  <c r="J58" i="2"/>
  <c r="G58" i="2"/>
  <c r="J56" i="2"/>
  <c r="G56" i="2"/>
  <c r="G55" i="2"/>
  <c r="G54" i="2"/>
  <c r="J53" i="2"/>
  <c r="I53" i="2"/>
  <c r="G53" i="2"/>
  <c r="G52" i="2"/>
  <c r="J51" i="2"/>
  <c r="G51" i="2"/>
  <c r="G50" i="2"/>
  <c r="G49" i="2"/>
  <c r="G48" i="2"/>
  <c r="G47" i="2"/>
  <c r="J46" i="2"/>
  <c r="G46" i="2"/>
  <c r="G45" i="2"/>
  <c r="G44" i="2"/>
  <c r="G43" i="2"/>
  <c r="G42" i="2"/>
  <c r="G41" i="2"/>
  <c r="J40" i="2"/>
  <c r="G40" i="2"/>
  <c r="G39" i="2"/>
  <c r="G38" i="2"/>
  <c r="J37" i="2"/>
  <c r="G37" i="2"/>
  <c r="G36" i="2"/>
  <c r="G35" i="2"/>
  <c r="G31" i="2"/>
  <c r="G22" i="2"/>
  <c r="G21" i="2"/>
  <c r="G17" i="2"/>
  <c r="G16" i="2"/>
  <c r="J15" i="2"/>
  <c r="I15" i="2"/>
  <c r="G15" i="2"/>
  <c r="J14" i="2"/>
  <c r="I14" i="2"/>
  <c r="G14" i="2"/>
  <c r="G13" i="2"/>
  <c r="G12" i="2"/>
  <c r="J11" i="2"/>
  <c r="I11" i="2"/>
  <c r="G11" i="2"/>
  <c r="G10" i="2"/>
  <c r="G9" i="2"/>
  <c r="G8" i="2"/>
  <c r="J7" i="2"/>
  <c r="G7" i="2"/>
  <c r="G6" i="2"/>
  <c r="J6" i="2"/>
  <c r="I6" i="2"/>
  <c r="J5" i="2"/>
  <c r="G5" i="2"/>
  <c r="J4" i="2"/>
  <c r="G4" i="2"/>
  <c r="G3" i="2"/>
  <c r="G2" i="2"/>
  <c r="F7" i="1"/>
  <c r="F6" i="1"/>
</calcChain>
</file>

<file path=xl/sharedStrings.xml><?xml version="1.0" encoding="utf-8"?>
<sst xmlns="http://schemas.openxmlformats.org/spreadsheetml/2006/main" count="3904" uniqueCount="331">
  <si>
    <t>Название</t>
  </si>
  <si>
    <t>Эмитент</t>
  </si>
  <si>
    <t>Глубина стакана</t>
  </si>
  <si>
    <t>Количество заявок на продажу</t>
  </si>
  <si>
    <t>Количество заявок на покупку</t>
  </si>
  <si>
    <t>Процент</t>
  </si>
  <si>
    <t>Номинал</t>
  </si>
  <si>
    <t>Альфамонолит-2</t>
  </si>
  <si>
    <t>Альфамонолиит</t>
  </si>
  <si>
    <t>Салюс-2</t>
  </si>
  <si>
    <t>Срок</t>
  </si>
  <si>
    <t>Дельта-агро-3</t>
  </si>
  <si>
    <t>Дельта-агро</t>
  </si>
  <si>
    <t>Салюс</t>
  </si>
  <si>
    <t>Медскан</t>
  </si>
  <si>
    <t>Медскан-1</t>
  </si>
  <si>
    <t>Альфамонолит-3</t>
  </si>
  <si>
    <t>Альфамонолит</t>
  </si>
  <si>
    <t>Дельта-агро-4</t>
  </si>
  <si>
    <t>Альфамонолит-4</t>
  </si>
  <si>
    <t>ТК "Мерокс"-1</t>
  </si>
  <si>
    <t>ТК "Мерокс"</t>
  </si>
  <si>
    <t>Re-Token-1</t>
  </si>
  <si>
    <t>Re-Roken</t>
  </si>
  <si>
    <t>Активов покупается</t>
  </si>
  <si>
    <t>Активов продается</t>
  </si>
  <si>
    <t>Тип процентной ставки</t>
  </si>
  <si>
    <t>Фиксированная</t>
  </si>
  <si>
    <t>Альфа-Банк-1653</t>
  </si>
  <si>
    <t>Альфа-Банк-1601</t>
  </si>
  <si>
    <t>Альфа-Банк</t>
  </si>
  <si>
    <t>Цена</t>
  </si>
  <si>
    <t>Рейтинг РА эмитента</t>
  </si>
  <si>
    <t>АА+</t>
  </si>
  <si>
    <t>ГК ЕКС-4</t>
  </si>
  <si>
    <t>АО "ГК "ЕКС"</t>
  </si>
  <si>
    <t>ruA-</t>
  </si>
  <si>
    <t>Срок обращения, мес</t>
  </si>
  <si>
    <t>Выплата процентного дохода</t>
  </si>
  <si>
    <t>Ежемесячно</t>
  </si>
  <si>
    <t>В конце срока</t>
  </si>
  <si>
    <t>Альфа-Банк-1625</t>
  </si>
  <si>
    <t>Срок погашения</t>
  </si>
  <si>
    <t>Можно продать после</t>
  </si>
  <si>
    <t>Тип ЦФА</t>
  </si>
  <si>
    <t>Цифровые обязательства</t>
  </si>
  <si>
    <t>ВИС - 5</t>
  </si>
  <si>
    <t>Группа "ВИС" (АО)</t>
  </si>
  <si>
    <t>Накопленный процентный доход, руб</t>
  </si>
  <si>
    <t>ruA+</t>
  </si>
  <si>
    <t>Termoland-7</t>
  </si>
  <si>
    <t>ООО "УК "ТЕРМОЛЭНД"</t>
  </si>
  <si>
    <t>Альфа-Банк-1629</t>
  </si>
  <si>
    <t>Дата выпуска</t>
  </si>
  <si>
    <t>Альфа-Банк-1631</t>
  </si>
  <si>
    <t>Альфа-Банк-1628</t>
  </si>
  <si>
    <t>ДАРС-5</t>
  </si>
  <si>
    <t>Группа ДАРС</t>
  </si>
  <si>
    <t>ruBBB</t>
  </si>
  <si>
    <t>Na</t>
  </si>
  <si>
    <t>Агро-Терра-1</t>
  </si>
  <si>
    <t>"АгроТерра"</t>
  </si>
  <si>
    <t>Центр дистрибьюции - 4</t>
  </si>
  <si>
    <t>ООО "Центр дистрибьюции"</t>
  </si>
  <si>
    <t>Siberian Wellness - 1</t>
  </si>
  <si>
    <t>ГК "Сибирское здоровье"</t>
  </si>
  <si>
    <t>Село Зелёное-1</t>
  </si>
  <si>
    <t xml:space="preserve">Село Зелёное </t>
  </si>
  <si>
    <t>А(Нац рейтинг агенство)</t>
  </si>
  <si>
    <t>Альфа-Банк-1611</t>
  </si>
  <si>
    <t>Альфа-Банк-1610</t>
  </si>
  <si>
    <t>Альфа-Банк-1607</t>
  </si>
  <si>
    <t>Альфа-Банк-1594</t>
  </si>
  <si>
    <t>Альфа-Банк-1597</t>
  </si>
  <si>
    <t>Альфа-Банк-1609</t>
  </si>
  <si>
    <t>Альфа-Банк-1606</t>
  </si>
  <si>
    <t>Альфа-Банк-1608</t>
  </si>
  <si>
    <t>Альфа-Банк-1600</t>
  </si>
  <si>
    <t>Альфа-Банк-1599</t>
  </si>
  <si>
    <t>Альфа-Банк-1598</t>
  </si>
  <si>
    <t>Альфа-Банк-1602</t>
  </si>
  <si>
    <t>Альфа-Банк-1595</t>
  </si>
  <si>
    <t>Альфа-Банк-1596</t>
  </si>
  <si>
    <t>Альфа-Банк-1605</t>
  </si>
  <si>
    <t>Альфа-Банк-1603</t>
  </si>
  <si>
    <t>ГТЛК - 1</t>
  </si>
  <si>
    <t>ГТЛК</t>
  </si>
  <si>
    <t>АА-</t>
  </si>
  <si>
    <t>Полипласт-6</t>
  </si>
  <si>
    <t>ГК "Полипласт"</t>
  </si>
  <si>
    <t>А (НКР)</t>
  </si>
  <si>
    <t>Аскона - 1</t>
  </si>
  <si>
    <t>ГК "Аскона"</t>
  </si>
  <si>
    <t>Альфа-Банк-1576</t>
  </si>
  <si>
    <t>Золото</t>
  </si>
  <si>
    <t>Rugold</t>
  </si>
  <si>
    <t>Привязка к индексу</t>
  </si>
  <si>
    <t>Альфа-Банк-1575</t>
  </si>
  <si>
    <t>СЗ ИНСИТИ - 4</t>
  </si>
  <si>
    <t>ГК "ИНСИТИ"</t>
  </si>
  <si>
    <t>Bid</t>
  </si>
  <si>
    <t>Ask</t>
  </si>
  <si>
    <t>Альфа-Банк-1584</t>
  </si>
  <si>
    <t>Альфа-Банк-1586</t>
  </si>
  <si>
    <t>Альфа-Банк-1573</t>
  </si>
  <si>
    <t>Альфа-Банк-1556</t>
  </si>
  <si>
    <t>ТНС Энерго-1</t>
  </si>
  <si>
    <t>ПАО "ТНС энерго Ярославль"</t>
  </si>
  <si>
    <t>Альфа-Банк-1555</t>
  </si>
  <si>
    <t>Альфа-Банк-1561</t>
  </si>
  <si>
    <t>Альфа-Банк-1562</t>
  </si>
  <si>
    <t>Евро-транс-27</t>
  </si>
  <si>
    <t>ПАО "Евротранс"</t>
  </si>
  <si>
    <t>С</t>
  </si>
  <si>
    <t>Альфа-Банк-1553</t>
  </si>
  <si>
    <t>Альфа-Банк-1532</t>
  </si>
  <si>
    <t>Альфа-Банк-1550</t>
  </si>
  <si>
    <t>Альфа-Банк-1563</t>
  </si>
  <si>
    <t>Ростелеком-41</t>
  </si>
  <si>
    <t>Ростелеком</t>
  </si>
  <si>
    <t>ААА</t>
  </si>
  <si>
    <t>Альфа-Банк 1527</t>
  </si>
  <si>
    <t>Ант-Япы-1</t>
  </si>
  <si>
    <t>Ант Япы</t>
  </si>
  <si>
    <t>Альфа-Банк-1522</t>
  </si>
  <si>
    <t>C</t>
  </si>
  <si>
    <t>ВЗЛП - 2</t>
  </si>
  <si>
    <t>Вольгинский завод литьевых пластмасс</t>
  </si>
  <si>
    <t>Альфа-Банк-1519</t>
  </si>
  <si>
    <t>Альфа-Банк-1516</t>
  </si>
  <si>
    <t>ДАРС-3</t>
  </si>
  <si>
    <t>Альфа-Банк-1514</t>
  </si>
  <si>
    <t>Альфа-Банк-1517</t>
  </si>
  <si>
    <t>Альфа-Банк-1515</t>
  </si>
  <si>
    <t>Альфа-Банк-1494</t>
  </si>
  <si>
    <t>Альфа-Банк-1496</t>
  </si>
  <si>
    <t>Альфа-Банк-1451</t>
  </si>
  <si>
    <t>Альфа-Банк-1495</t>
  </si>
  <si>
    <t>Альфа-Банк-1493</t>
  </si>
  <si>
    <t>Альфа-Банк-1450</t>
  </si>
  <si>
    <t>ЕвроТранс-25</t>
  </si>
  <si>
    <t>ЕвроТранс-26</t>
  </si>
  <si>
    <t>Альфа-Банк-1485</t>
  </si>
  <si>
    <t>Альфа-Банк-1487</t>
  </si>
  <si>
    <t>Альфа-Банк-1447</t>
  </si>
  <si>
    <t>Альфа-Банк-1470</t>
  </si>
  <si>
    <t>Альфа-Банк-1484</t>
  </si>
  <si>
    <t>Альфа-Банк-1446</t>
  </si>
  <si>
    <t>Альфа-Банк-1444</t>
  </si>
  <si>
    <t>Альфа-Банк-1430</t>
  </si>
  <si>
    <t>Альфа-Банк-1482</t>
  </si>
  <si>
    <t>Альфа-Банк-1428</t>
  </si>
  <si>
    <t>Альфа-Банк-1425</t>
  </si>
  <si>
    <t>Альфа-Банк-1414</t>
  </si>
  <si>
    <t>Альфа-Банк-1413</t>
  </si>
  <si>
    <t>Альфа-Банк-1412</t>
  </si>
  <si>
    <t>Restore-9</t>
  </si>
  <si>
    <t>ООО "Рестор"</t>
  </si>
  <si>
    <t>BBB+</t>
  </si>
  <si>
    <t>ВИС - 4</t>
  </si>
  <si>
    <t>Сибресурс-1</t>
  </si>
  <si>
    <t>Сибресурс</t>
  </si>
  <si>
    <t>B+ (НКР)</t>
  </si>
  <si>
    <t>Семья-1</t>
  </si>
  <si>
    <t>ГК "Семья"</t>
  </si>
  <si>
    <t>Альфа-Банк-1326</t>
  </si>
  <si>
    <t>ЕвроТранс-22</t>
  </si>
  <si>
    <t>ВИС - 3</t>
  </si>
  <si>
    <t>АФК Система-2</t>
  </si>
  <si>
    <t>AA-</t>
  </si>
  <si>
    <t>ПАО АФК "Система"</t>
  </si>
  <si>
    <t>Доброфлот-3</t>
  </si>
  <si>
    <t>Доброфлот</t>
  </si>
  <si>
    <t>ЕвроТранс-21</t>
  </si>
  <si>
    <t>AVA-3</t>
  </si>
  <si>
    <t>AVA</t>
  </si>
  <si>
    <t>Аптеки Плюс - 1</t>
  </si>
  <si>
    <t>Аптеки Плюс</t>
  </si>
  <si>
    <t>ЕвроТранс-20</t>
  </si>
  <si>
    <t>Полипласт-4</t>
  </si>
  <si>
    <t>Дельта-Агро-5</t>
  </si>
  <si>
    <t>АО "Дельта-Агро"</t>
  </si>
  <si>
    <t>ЭНКО-1</t>
  </si>
  <si>
    <t>ЭНКО</t>
  </si>
  <si>
    <t>BB+ (НКР)</t>
  </si>
  <si>
    <t>Termoland-6</t>
  </si>
  <si>
    <t>Сервис-Интегратор-2</t>
  </si>
  <si>
    <t>ООО "Сервис-Интегратор"</t>
  </si>
  <si>
    <t>Аэроклуб-3</t>
  </si>
  <si>
    <t>АО "Аэроклуб"</t>
  </si>
  <si>
    <t>BBB- (НКР)</t>
  </si>
  <si>
    <t>Эталон-3</t>
  </si>
  <si>
    <t>Эталон</t>
  </si>
  <si>
    <t>ЕвроТранс-19</t>
  </si>
  <si>
    <t>AVA-2</t>
  </si>
  <si>
    <t>Селигдар-4</t>
  </si>
  <si>
    <t>Селигдар</t>
  </si>
  <si>
    <t>А+</t>
  </si>
  <si>
    <t>Золотое Яблоко-1</t>
  </si>
  <si>
    <t>Золотое Яблоко</t>
  </si>
  <si>
    <t xml:space="preserve">B+ </t>
  </si>
  <si>
    <t>Альфа-Банк-1210</t>
  </si>
  <si>
    <t>AA+</t>
  </si>
  <si>
    <t>ЕвроТранс-18</t>
  </si>
  <si>
    <t>Альфа-Банк-1203</t>
  </si>
  <si>
    <t>ЕвроТранс-17</t>
  </si>
  <si>
    <t>Первый капитал-1</t>
  </si>
  <si>
    <t>ГК "Первый капитал"</t>
  </si>
  <si>
    <t>LEDsi-1</t>
  </si>
  <si>
    <t>ООО "Завод Светодиоидной продуукции"</t>
  </si>
  <si>
    <t>Дельта-Агро-4</t>
  </si>
  <si>
    <t>Restore-8</t>
  </si>
  <si>
    <t>ARLIFT-1</t>
  </si>
  <si>
    <t>ARLIFT</t>
  </si>
  <si>
    <t xml:space="preserve">BB+ </t>
  </si>
  <si>
    <t>Альфа-Банк-1140</t>
  </si>
  <si>
    <t>ВЗЛП-1</t>
  </si>
  <si>
    <t>Termoland-5</t>
  </si>
  <si>
    <t>20?5</t>
  </si>
  <si>
    <t>ЕвроТранс-16</t>
  </si>
  <si>
    <t>Альфа-Банк-1100</t>
  </si>
  <si>
    <t>Альфа-Банк-1096</t>
  </si>
  <si>
    <t>ЕвроТранс-14</t>
  </si>
  <si>
    <t>Альфа-Банк-1063</t>
  </si>
  <si>
    <t>Termoland-4</t>
  </si>
  <si>
    <t>Альфа-Банк-1043</t>
  </si>
  <si>
    <t>Альфа-Банк-1020</t>
  </si>
  <si>
    <t>Новые технологии - 2</t>
  </si>
  <si>
    <t>ООО "Новые технологии"</t>
  </si>
  <si>
    <t>Прометей-1</t>
  </si>
  <si>
    <t>ООО "Прометей"</t>
  </si>
  <si>
    <t>AVA-1</t>
  </si>
  <si>
    <t>Селигдар-1</t>
  </si>
  <si>
    <t>Ежеквартально</t>
  </si>
  <si>
    <t>Новые технологии - 1</t>
  </si>
  <si>
    <t>Kitfort-3</t>
  </si>
  <si>
    <t>Kitfort</t>
  </si>
  <si>
    <t>Forte-14</t>
  </si>
  <si>
    <t>ООО "Форте Хоум ГмбХ"</t>
  </si>
  <si>
    <t>Альфа-Банк-892</t>
  </si>
  <si>
    <t>ЕвроТранс-12</t>
  </si>
  <si>
    <t>Доброфлот-2</t>
  </si>
  <si>
    <t>Альфа-Банк-808</t>
  </si>
  <si>
    <t>Новосибирскавтодор-2</t>
  </si>
  <si>
    <t>АО "Новосибирскавтодор"</t>
  </si>
  <si>
    <t>Forte-12</t>
  </si>
  <si>
    <t>Магнезит-2</t>
  </si>
  <si>
    <t>Группа Магнезит</t>
  </si>
  <si>
    <t>Альфа-Банк-710</t>
  </si>
  <si>
    <t>Альфа-Банк-717</t>
  </si>
  <si>
    <t>Альфа-Банк-697</t>
  </si>
  <si>
    <t>Альфа-Банк-687</t>
  </si>
  <si>
    <t>Альфа-Банк-661</t>
  </si>
  <si>
    <t>Альфа-Банк-668</t>
  </si>
  <si>
    <t>Альфа-Банк-663</t>
  </si>
  <si>
    <t>Альфа-Банк-484</t>
  </si>
  <si>
    <t>Альфа-Банк-499</t>
  </si>
  <si>
    <t>Альфа-Банк-469</t>
  </si>
  <si>
    <t>Альфа-Банк-466</t>
  </si>
  <si>
    <t>Альфа-Банк-445</t>
  </si>
  <si>
    <t>Альфа-Банк-440</t>
  </si>
  <si>
    <t>МСБ-Лизинг-4</t>
  </si>
  <si>
    <t>ООО "МСБ-Лизинг"</t>
  </si>
  <si>
    <t xml:space="preserve">BBB- </t>
  </si>
  <si>
    <t>Альфа-Банк-430</t>
  </si>
  <si>
    <t>Альфа-Банк-434</t>
  </si>
  <si>
    <t>Альфа-Банк-394</t>
  </si>
  <si>
    <t>Autocity-1</t>
  </si>
  <si>
    <t>ООО "Автосити"</t>
  </si>
  <si>
    <t>Балтийский хлеб</t>
  </si>
  <si>
    <t>Долговые</t>
  </si>
  <si>
    <t>Объём выпуска (шт)</t>
  </si>
  <si>
    <t>ООО "Балтийский хлеб"</t>
  </si>
  <si>
    <t>Балтийский лизинг</t>
  </si>
  <si>
    <t>ООО "Балтийский лизинг"</t>
  </si>
  <si>
    <t>Binnopharm group</t>
  </si>
  <si>
    <t>ООО "Бинофарм Групп"</t>
  </si>
  <si>
    <t>A</t>
  </si>
  <si>
    <t>Дельта-Агро</t>
  </si>
  <si>
    <t>Активов продаётся</t>
  </si>
  <si>
    <t>Дымов</t>
  </si>
  <si>
    <t>ООО "Дымовское колбасное производство"</t>
  </si>
  <si>
    <t>ЭкоНива-Техника</t>
  </si>
  <si>
    <t>ООО "ЭКОНИВА-ТЕХНИКА"</t>
  </si>
  <si>
    <t>Эталон Финанс</t>
  </si>
  <si>
    <t>Глоракс</t>
  </si>
  <si>
    <t>ПАО "Глоракс"</t>
  </si>
  <si>
    <t>BBB+(НКР)</t>
  </si>
  <si>
    <t>АО "Медскан"</t>
  </si>
  <si>
    <t>Медскан 2</t>
  </si>
  <si>
    <t>Глоракс 2</t>
  </si>
  <si>
    <t>ЭкоНива-Техника 2</t>
  </si>
  <si>
    <t>Дельта-Агро 3</t>
  </si>
  <si>
    <t>Дельта-Агро 2</t>
  </si>
  <si>
    <t>Медскан 3</t>
  </si>
  <si>
    <t>А</t>
  </si>
  <si>
    <t>Finn Flare</t>
  </si>
  <si>
    <t>ООО "НЬЮФЭШН"</t>
  </si>
  <si>
    <t>Finn Flare 2</t>
  </si>
  <si>
    <t>Self Edge Japanese</t>
  </si>
  <si>
    <t>ООО "ПК"</t>
  </si>
  <si>
    <t>Пуровский НПЗ</t>
  </si>
  <si>
    <t>ООО "ПНПЗ"</t>
  </si>
  <si>
    <t>Пуровский НПЗ 2</t>
  </si>
  <si>
    <t>Т Технологии</t>
  </si>
  <si>
    <t>МКПАО "Т-Технологии"</t>
  </si>
  <si>
    <t>A+</t>
  </si>
  <si>
    <t xml:space="preserve">COLDY </t>
  </si>
  <si>
    <t>ООО "Тальвен"</t>
  </si>
  <si>
    <t>BBB (НКР)</t>
  </si>
  <si>
    <t>ВИС 2</t>
  </si>
  <si>
    <t>ВИС 3</t>
  </si>
  <si>
    <t>ВФМ Технолоджи</t>
  </si>
  <si>
    <t>ООО "ВФМ ТЕХНОЛОДЖИ"</t>
  </si>
  <si>
    <t>Цифровое вино и Цифровой градус -11</t>
  </si>
  <si>
    <t>Нет фиксированного</t>
  </si>
  <si>
    <t>ГТЛК -11</t>
  </si>
  <si>
    <t>АО "ГТЛК"</t>
  </si>
  <si>
    <t>рейтинг эмитента</t>
  </si>
  <si>
    <t>A7-USD-2</t>
  </si>
  <si>
    <t>ООО "А7"</t>
  </si>
  <si>
    <t>ООО «Реиннольц»</t>
  </si>
  <si>
    <t>ООО «ЛУДИНГ»</t>
  </si>
  <si>
    <t>ГЦП</t>
  </si>
  <si>
    <t>ГТЛК -1</t>
  </si>
  <si>
    <t>АА (АКРА)</t>
  </si>
  <si>
    <t>ОИС</t>
  </si>
  <si>
    <t>Атомайз</t>
  </si>
  <si>
    <t>Токеон</t>
  </si>
  <si>
    <t>А-токен</t>
  </si>
  <si>
    <t>КС на момент выпуска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</si>
</sst>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0D17-1272-4C38-9340-0728977796DA}">
  <dimension ref="A1:M13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defaultRowHeight="14.4" x14ac:dyDescent="0.3"/>
  <cols>
    <col min="1" max="1" width="35.44140625" bestFit="1" customWidth="1"/>
    <col min="2" max="2" width="15" bestFit="1" customWidth="1"/>
    <col min="3" max="3" width="15.33203125" bestFit="1" customWidth="1"/>
    <col min="4" max="4" width="28.21875" bestFit="1" customWidth="1"/>
    <col min="5" max="7" width="28.21875" customWidth="1"/>
    <col min="8" max="9" width="29.6640625" customWidth="1"/>
    <col min="10" max="10" width="19.109375" bestFit="1" customWidth="1"/>
    <col min="12" max="12" width="12.5546875" customWidth="1"/>
    <col min="13" max="13" width="16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4</v>
      </c>
      <c r="E1" t="s">
        <v>100</v>
      </c>
      <c r="F1" t="s">
        <v>24</v>
      </c>
      <c r="G1" t="s">
        <v>101</v>
      </c>
      <c r="H1" t="s">
        <v>3</v>
      </c>
      <c r="I1" t="s">
        <v>25</v>
      </c>
      <c r="J1" t="s">
        <v>5</v>
      </c>
      <c r="K1" t="s">
        <v>6</v>
      </c>
      <c r="L1" t="s">
        <v>10</v>
      </c>
      <c r="M1" t="s">
        <v>318</v>
      </c>
    </row>
    <row r="2" spans="1:13" x14ac:dyDescent="0.3">
      <c r="A2" t="s">
        <v>7</v>
      </c>
      <c r="B2" t="s">
        <v>8</v>
      </c>
      <c r="C2">
        <f>D2+H2</f>
        <v>15</v>
      </c>
      <c r="D2">
        <v>7</v>
      </c>
      <c r="E2">
        <v>1030</v>
      </c>
      <c r="F2">
        <f>82+55+41+41+41+34+41+99</f>
        <v>434</v>
      </c>
      <c r="G2">
        <v>900</v>
      </c>
      <c r="H2">
        <f>2+6</f>
        <v>8</v>
      </c>
      <c r="I2">
        <v>14</v>
      </c>
      <c r="J2">
        <v>23</v>
      </c>
      <c r="K2" s="1">
        <v>1000</v>
      </c>
      <c r="L2" s="2">
        <v>46240</v>
      </c>
      <c r="M2" t="s">
        <v>59</v>
      </c>
    </row>
    <row r="3" spans="1:13" x14ac:dyDescent="0.3">
      <c r="A3" t="s">
        <v>11</v>
      </c>
      <c r="B3" t="s">
        <v>12</v>
      </c>
      <c r="C3">
        <f t="shared" ref="C3:C10" si="0">D3+H3</f>
        <v>1</v>
      </c>
      <c r="D3">
        <v>0</v>
      </c>
      <c r="E3">
        <v>0</v>
      </c>
      <c r="F3">
        <v>0</v>
      </c>
      <c r="G3">
        <v>1000</v>
      </c>
      <c r="H3">
        <v>1</v>
      </c>
      <c r="I3">
        <v>11</v>
      </c>
      <c r="J3">
        <v>24</v>
      </c>
      <c r="K3" s="1">
        <v>1000</v>
      </c>
      <c r="L3" s="2">
        <v>46339</v>
      </c>
      <c r="M3" t="s">
        <v>59</v>
      </c>
    </row>
    <row r="4" spans="1:13" x14ac:dyDescent="0.3">
      <c r="A4" t="s">
        <v>9</v>
      </c>
      <c r="B4" t="s">
        <v>13</v>
      </c>
      <c r="C4">
        <f t="shared" si="0"/>
        <v>1</v>
      </c>
      <c r="D4">
        <v>1</v>
      </c>
      <c r="E4">
        <v>1100</v>
      </c>
      <c r="F4">
        <v>9</v>
      </c>
      <c r="G4">
        <v>0</v>
      </c>
      <c r="H4">
        <v>0</v>
      </c>
      <c r="I4">
        <v>0</v>
      </c>
      <c r="J4">
        <v>23</v>
      </c>
      <c r="K4">
        <v>1100</v>
      </c>
      <c r="L4" s="2">
        <v>46266</v>
      </c>
      <c r="M4" t="s">
        <v>59</v>
      </c>
    </row>
    <row r="5" spans="1:13" x14ac:dyDescent="0.3">
      <c r="A5" t="s">
        <v>15</v>
      </c>
      <c r="B5" t="s">
        <v>14</v>
      </c>
      <c r="C5">
        <f t="shared" si="0"/>
        <v>1</v>
      </c>
      <c r="D5">
        <v>1</v>
      </c>
      <c r="E5">
        <v>1100</v>
      </c>
      <c r="F5">
        <v>34</v>
      </c>
      <c r="G5">
        <v>0</v>
      </c>
      <c r="H5">
        <v>0</v>
      </c>
      <c r="I5">
        <v>0</v>
      </c>
      <c r="J5">
        <v>24</v>
      </c>
      <c r="K5">
        <v>1100</v>
      </c>
      <c r="L5" s="2">
        <v>46168</v>
      </c>
      <c r="M5" t="s">
        <v>59</v>
      </c>
    </row>
    <row r="6" spans="1:13" x14ac:dyDescent="0.3">
      <c r="A6" t="s">
        <v>16</v>
      </c>
      <c r="B6" t="s">
        <v>17</v>
      </c>
      <c r="C6">
        <f t="shared" si="0"/>
        <v>5</v>
      </c>
      <c r="D6">
        <v>4</v>
      </c>
      <c r="E6">
        <v>1039</v>
      </c>
      <c r="F6">
        <f>42+17</f>
        <v>59</v>
      </c>
      <c r="G6">
        <v>900</v>
      </c>
      <c r="H6">
        <v>1</v>
      </c>
      <c r="I6">
        <v>6</v>
      </c>
      <c r="J6">
        <v>23</v>
      </c>
      <c r="K6">
        <v>1000</v>
      </c>
      <c r="L6" s="2">
        <v>46269</v>
      </c>
      <c r="M6" t="s">
        <v>59</v>
      </c>
    </row>
    <row r="7" spans="1:13" x14ac:dyDescent="0.3">
      <c r="A7" t="s">
        <v>18</v>
      </c>
      <c r="B7" t="s">
        <v>12</v>
      </c>
      <c r="C7">
        <f t="shared" si="0"/>
        <v>4</v>
      </c>
      <c r="D7">
        <v>3</v>
      </c>
      <c r="E7">
        <v>1044.99</v>
      </c>
      <c r="F7">
        <f>2+4+45+2</f>
        <v>53</v>
      </c>
      <c r="G7">
        <v>1000</v>
      </c>
      <c r="H7">
        <v>1</v>
      </c>
      <c r="I7">
        <v>11</v>
      </c>
      <c r="J7">
        <v>22</v>
      </c>
      <c r="K7">
        <v>1000</v>
      </c>
      <c r="L7" s="2">
        <v>46409</v>
      </c>
      <c r="M7" t="s">
        <v>59</v>
      </c>
    </row>
    <row r="8" spans="1:13" x14ac:dyDescent="0.3">
      <c r="A8" t="s">
        <v>19</v>
      </c>
      <c r="B8" t="s">
        <v>17</v>
      </c>
      <c r="C8">
        <f t="shared" si="0"/>
        <v>3</v>
      </c>
      <c r="D8">
        <v>1</v>
      </c>
      <c r="E8">
        <v>1100</v>
      </c>
      <c r="F8">
        <v>3</v>
      </c>
      <c r="G8">
        <v>900</v>
      </c>
      <c r="H8">
        <v>2</v>
      </c>
      <c r="I8">
        <v>20</v>
      </c>
      <c r="J8">
        <v>23</v>
      </c>
      <c r="K8">
        <v>1000</v>
      </c>
      <c r="L8" s="2">
        <v>46407</v>
      </c>
      <c r="M8" t="s">
        <v>59</v>
      </c>
    </row>
    <row r="9" spans="1:13" x14ac:dyDescent="0.3">
      <c r="A9" t="s">
        <v>20</v>
      </c>
      <c r="B9" t="s">
        <v>21</v>
      </c>
      <c r="C9">
        <f>D9+H9</f>
        <v>2</v>
      </c>
      <c r="D9">
        <v>1</v>
      </c>
      <c r="E9">
        <v>1100</v>
      </c>
      <c r="F9">
        <v>86</v>
      </c>
      <c r="G9">
        <v>1000</v>
      </c>
      <c r="H9">
        <v>1</v>
      </c>
      <c r="I9">
        <v>5</v>
      </c>
      <c r="J9">
        <v>22.01</v>
      </c>
      <c r="K9">
        <v>1000</v>
      </c>
      <c r="L9" s="2">
        <v>46233</v>
      </c>
      <c r="M9" t="s">
        <v>59</v>
      </c>
    </row>
    <row r="10" spans="1:13" x14ac:dyDescent="0.3">
      <c r="A10" t="s">
        <v>22</v>
      </c>
      <c r="B10" t="s">
        <v>23</v>
      </c>
      <c r="C10">
        <f t="shared" si="0"/>
        <v>2</v>
      </c>
      <c r="D10">
        <v>2</v>
      </c>
      <c r="E10">
        <v>1030</v>
      </c>
      <c r="F10">
        <f>13+50</f>
        <v>63</v>
      </c>
      <c r="G10">
        <v>0</v>
      </c>
      <c r="H10">
        <v>0</v>
      </c>
      <c r="I10">
        <v>0</v>
      </c>
      <c r="J10">
        <v>29.08</v>
      </c>
      <c r="K10">
        <v>1000</v>
      </c>
      <c r="L10" s="2">
        <v>46182</v>
      </c>
      <c r="M10" t="s">
        <v>59</v>
      </c>
    </row>
    <row r="11" spans="1:13" x14ac:dyDescent="0.3">
      <c r="A11" t="s">
        <v>314</v>
      </c>
      <c r="C11">
        <v>1</v>
      </c>
      <c r="D11">
        <v>1</v>
      </c>
      <c r="E11" s="1">
        <v>10000</v>
      </c>
      <c r="F11">
        <v>1</v>
      </c>
      <c r="G11">
        <v>0</v>
      </c>
      <c r="H11">
        <v>0</v>
      </c>
      <c r="I11">
        <v>0</v>
      </c>
      <c r="J11" t="s">
        <v>315</v>
      </c>
      <c r="K11">
        <v>9373</v>
      </c>
      <c r="L11" s="2">
        <v>46308</v>
      </c>
      <c r="M11" t="s">
        <v>59</v>
      </c>
    </row>
    <row r="12" spans="1:13" x14ac:dyDescent="0.3">
      <c r="A12" t="s">
        <v>316</v>
      </c>
      <c r="B12" t="s">
        <v>317</v>
      </c>
      <c r="C12">
        <v>2</v>
      </c>
      <c r="D12">
        <v>2</v>
      </c>
      <c r="E12">
        <v>1199</v>
      </c>
      <c r="F12">
        <f>6+39</f>
        <v>45</v>
      </c>
      <c r="G12">
        <v>0</v>
      </c>
      <c r="H12">
        <v>0</v>
      </c>
      <c r="I12">
        <v>0</v>
      </c>
      <c r="J12" t="s">
        <v>315</v>
      </c>
      <c r="K12">
        <v>1000</v>
      </c>
      <c r="L12" s="2">
        <v>46192</v>
      </c>
      <c r="M12" t="s">
        <v>169</v>
      </c>
    </row>
    <row r="13" spans="1:13" x14ac:dyDescent="0.3">
      <c r="A13" t="s">
        <v>319</v>
      </c>
      <c r="B13" t="s">
        <v>320</v>
      </c>
      <c r="C13">
        <v>1</v>
      </c>
      <c r="D13">
        <v>0</v>
      </c>
      <c r="E13">
        <v>0</v>
      </c>
      <c r="F13">
        <v>0</v>
      </c>
      <c r="G13">
        <v>70.2</v>
      </c>
      <c r="H13">
        <v>1</v>
      </c>
      <c r="I13">
        <v>13</v>
      </c>
      <c r="J13" t="s">
        <v>315</v>
      </c>
      <c r="K13">
        <v>82.13</v>
      </c>
      <c r="L13" s="2">
        <v>46169</v>
      </c>
      <c r="M1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E88D-B9F2-44AE-9366-17E7BDCA2ED1}">
  <dimension ref="A1:U163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17" sqref="S17"/>
    </sheetView>
  </sheetViews>
  <sheetFormatPr defaultRowHeight="14.4" x14ac:dyDescent="0.3"/>
  <cols>
    <col min="1" max="1" width="23.5546875" bestFit="1" customWidth="1"/>
    <col min="2" max="2" width="37.77734375" bestFit="1" customWidth="1"/>
    <col min="3" max="3" width="23.33203125" bestFit="1" customWidth="1"/>
    <col min="4" max="4" width="15.33203125" bestFit="1" customWidth="1"/>
    <col min="5" max="5" width="27.44140625" bestFit="1" customWidth="1"/>
    <col min="6" max="6" width="13.6640625" customWidth="1"/>
    <col min="7" max="7" width="20.44140625" customWidth="1"/>
    <col min="8" max="8" width="28.21875" customWidth="1"/>
    <col min="9" max="9" width="28.21875" bestFit="1" customWidth="1"/>
    <col min="10" max="10" width="17.5546875" bestFit="1" customWidth="1"/>
    <col min="12" max="13" width="9.6640625" bestFit="1" customWidth="1"/>
    <col min="14" max="14" width="13.44140625" customWidth="1"/>
    <col min="15" max="15" width="15.109375" bestFit="1" customWidth="1"/>
    <col min="16" max="16" width="20.33203125" bestFit="1" customWidth="1"/>
    <col min="17" max="17" width="21.44140625" bestFit="1" customWidth="1"/>
    <col min="18" max="18" width="21.44140625" style="3" customWidth="1"/>
    <col min="19" max="19" width="35.77734375" style="3" bestFit="1" customWidth="1"/>
    <col min="20" max="20" width="29.21875" customWidth="1"/>
    <col min="21" max="21" width="23.33203125" bestFit="1" customWidth="1"/>
  </cols>
  <sheetData>
    <row r="1" spans="1:21" x14ac:dyDescent="0.3">
      <c r="A1" t="s">
        <v>0</v>
      </c>
      <c r="B1" t="s">
        <v>1</v>
      </c>
      <c r="C1" t="s">
        <v>44</v>
      </c>
      <c r="D1" t="s">
        <v>2</v>
      </c>
      <c r="E1" t="s">
        <v>4</v>
      </c>
      <c r="F1" t="s">
        <v>100</v>
      </c>
      <c r="G1" t="s">
        <v>24</v>
      </c>
      <c r="H1" t="s">
        <v>101</v>
      </c>
      <c r="I1" t="s">
        <v>3</v>
      </c>
      <c r="J1" t="s">
        <v>25</v>
      </c>
      <c r="K1" t="s">
        <v>5</v>
      </c>
      <c r="L1" t="s">
        <v>31</v>
      </c>
      <c r="M1" t="s">
        <v>6</v>
      </c>
      <c r="N1" t="s">
        <v>53</v>
      </c>
      <c r="O1" t="s">
        <v>42</v>
      </c>
      <c r="P1" t="s">
        <v>43</v>
      </c>
      <c r="Q1" t="s">
        <v>26</v>
      </c>
      <c r="R1" s="3" t="s">
        <v>37</v>
      </c>
      <c r="S1" s="3" t="s">
        <v>48</v>
      </c>
      <c r="T1" t="s">
        <v>38</v>
      </c>
      <c r="U1" t="s">
        <v>32</v>
      </c>
    </row>
    <row r="2" spans="1:21" x14ac:dyDescent="0.3">
      <c r="A2" t="s">
        <v>29</v>
      </c>
      <c r="B2" t="s">
        <v>30</v>
      </c>
      <c r="C2" t="s">
        <v>45</v>
      </c>
      <c r="D2">
        <v>3</v>
      </c>
      <c r="E2">
        <v>3</v>
      </c>
      <c r="F2">
        <v>1000</v>
      </c>
      <c r="G2">
        <f>50+68+52</f>
        <v>170</v>
      </c>
      <c r="H2">
        <v>0</v>
      </c>
      <c r="I2">
        <v>0</v>
      </c>
      <c r="J2">
        <v>0</v>
      </c>
      <c r="K2">
        <v>14</v>
      </c>
      <c r="L2">
        <v>1001</v>
      </c>
      <c r="M2">
        <v>1000</v>
      </c>
      <c r="N2" s="2">
        <v>46100</v>
      </c>
      <c r="O2" s="2">
        <v>46464</v>
      </c>
      <c r="P2" s="2">
        <v>46100</v>
      </c>
      <c r="Q2" t="s">
        <v>27</v>
      </c>
      <c r="R2" s="3">
        <v>12</v>
      </c>
      <c r="S2" s="3">
        <v>18.03</v>
      </c>
      <c r="T2" t="s">
        <v>40</v>
      </c>
      <c r="U2" t="s">
        <v>33</v>
      </c>
    </row>
    <row r="3" spans="1:21" x14ac:dyDescent="0.3">
      <c r="A3" t="s">
        <v>28</v>
      </c>
      <c r="B3" t="s">
        <v>30</v>
      </c>
      <c r="C3" t="s">
        <v>45</v>
      </c>
      <c r="D3">
        <v>5</v>
      </c>
      <c r="E3">
        <v>5</v>
      </c>
      <c r="F3">
        <v>1007</v>
      </c>
      <c r="G3">
        <f>189+100+6</f>
        <v>295</v>
      </c>
      <c r="H3">
        <v>0</v>
      </c>
      <c r="I3">
        <v>0</v>
      </c>
      <c r="J3">
        <v>0</v>
      </c>
      <c r="K3">
        <v>14.28</v>
      </c>
      <c r="L3">
        <v>1000</v>
      </c>
      <c r="M3">
        <v>1000</v>
      </c>
      <c r="N3" s="2">
        <v>46134</v>
      </c>
      <c r="O3" s="2">
        <v>46317</v>
      </c>
      <c r="P3" s="2">
        <v>46134</v>
      </c>
      <c r="Q3" t="s">
        <v>27</v>
      </c>
      <c r="R3" s="3">
        <v>6</v>
      </c>
      <c r="S3" s="3">
        <v>5.09</v>
      </c>
      <c r="T3" t="s">
        <v>40</v>
      </c>
      <c r="U3" t="s">
        <v>33</v>
      </c>
    </row>
    <row r="4" spans="1:21" x14ac:dyDescent="0.3">
      <c r="A4" t="s">
        <v>34</v>
      </c>
      <c r="B4" t="s">
        <v>35</v>
      </c>
      <c r="C4" t="s">
        <v>45</v>
      </c>
      <c r="D4">
        <v>26</v>
      </c>
      <c r="E4">
        <v>9</v>
      </c>
      <c r="F4">
        <v>1008</v>
      </c>
      <c r="G4">
        <f>4+30+2+100+200+11+500+51</f>
        <v>898</v>
      </c>
      <c r="H4">
        <v>1014</v>
      </c>
      <c r="I4">
        <v>17</v>
      </c>
      <c r="J4">
        <f>20+2+50+10+91+1+3+5+7+60+50+1+3+1+20+59</f>
        <v>383</v>
      </c>
      <c r="K4">
        <v>17.5</v>
      </c>
      <c r="L4">
        <v>1008</v>
      </c>
      <c r="M4">
        <v>1000</v>
      </c>
      <c r="N4" s="2">
        <v>46129</v>
      </c>
      <c r="O4" s="2">
        <v>46385</v>
      </c>
      <c r="P4" s="2">
        <v>46132</v>
      </c>
      <c r="Q4" t="s">
        <v>27</v>
      </c>
      <c r="R4" s="3">
        <v>8</v>
      </c>
      <c r="S4" s="3">
        <v>8.15</v>
      </c>
      <c r="T4" t="s">
        <v>39</v>
      </c>
      <c r="U4" t="s">
        <v>36</v>
      </c>
    </row>
    <row r="5" spans="1:21" x14ac:dyDescent="0.3">
      <c r="A5" t="s">
        <v>41</v>
      </c>
      <c r="B5" t="s">
        <v>30</v>
      </c>
      <c r="C5" t="s">
        <v>45</v>
      </c>
      <c r="D5">
        <v>10</v>
      </c>
      <c r="E5">
        <v>7</v>
      </c>
      <c r="F5">
        <v>1006</v>
      </c>
      <c r="G5">
        <f>1+5+30+370+50+1000+15</f>
        <v>1471</v>
      </c>
      <c r="H5">
        <v>1025</v>
      </c>
      <c r="I5">
        <v>3</v>
      </c>
      <c r="J5">
        <f>1+6+343</f>
        <v>350</v>
      </c>
      <c r="K5">
        <v>14.5</v>
      </c>
      <c r="L5">
        <v>1015.5</v>
      </c>
      <c r="M5">
        <v>1000</v>
      </c>
      <c r="N5" s="2">
        <v>46128</v>
      </c>
      <c r="O5" s="2">
        <v>46218</v>
      </c>
      <c r="P5" s="2">
        <v>46128</v>
      </c>
      <c r="Q5" t="s">
        <v>27</v>
      </c>
      <c r="R5" s="3">
        <v>3</v>
      </c>
      <c r="S5" s="3">
        <v>7.55</v>
      </c>
      <c r="T5" t="s">
        <v>40</v>
      </c>
      <c r="U5" t="s">
        <v>33</v>
      </c>
    </row>
    <row r="6" spans="1:21" x14ac:dyDescent="0.3">
      <c r="A6" t="s">
        <v>46</v>
      </c>
      <c r="B6" t="s">
        <v>47</v>
      </c>
      <c r="C6" t="s">
        <v>45</v>
      </c>
      <c r="D6">
        <v>25</v>
      </c>
      <c r="E6">
        <v>8</v>
      </c>
      <c r="F6">
        <v>1000</v>
      </c>
      <c r="G6">
        <f>3+1+5+100+5+12+506+2</f>
        <v>634</v>
      </c>
      <c r="H6">
        <v>1015</v>
      </c>
      <c r="I6">
        <f>D6-E6</f>
        <v>17</v>
      </c>
      <c r="J6">
        <f>21+1000+54+15+1+1+3+5+10+50+2+21+20+2+1+97</f>
        <v>1303</v>
      </c>
      <c r="K6">
        <v>17.5</v>
      </c>
      <c r="L6">
        <v>1007.5</v>
      </c>
      <c r="M6">
        <v>1000</v>
      </c>
      <c r="N6" s="2">
        <v>46125</v>
      </c>
      <c r="O6" s="2">
        <v>46490</v>
      </c>
      <c r="P6" s="2">
        <v>46217</v>
      </c>
      <c r="Q6" t="s">
        <v>27</v>
      </c>
      <c r="R6" s="3">
        <v>12</v>
      </c>
      <c r="S6" s="3">
        <v>10.07</v>
      </c>
      <c r="T6" t="s">
        <v>39</v>
      </c>
      <c r="U6" t="s">
        <v>49</v>
      </c>
    </row>
    <row r="7" spans="1:21" x14ac:dyDescent="0.3">
      <c r="A7" t="s">
        <v>50</v>
      </c>
      <c r="B7" t="s">
        <v>51</v>
      </c>
      <c r="C7" t="s">
        <v>45</v>
      </c>
      <c r="D7">
        <v>11</v>
      </c>
      <c r="E7">
        <v>4</v>
      </c>
      <c r="F7">
        <v>1010</v>
      </c>
      <c r="G7">
        <f>10+1775+250+236</f>
        <v>2271</v>
      </c>
      <c r="H7">
        <v>1062</v>
      </c>
      <c r="I7">
        <v>7</v>
      </c>
      <c r="J7">
        <f>1+160+2+10+102</f>
        <v>275</v>
      </c>
      <c r="K7">
        <v>20</v>
      </c>
      <c r="L7">
        <v>1011.5</v>
      </c>
      <c r="M7">
        <v>1000</v>
      </c>
      <c r="N7" s="2">
        <v>46114</v>
      </c>
      <c r="O7" s="2">
        <v>46479</v>
      </c>
      <c r="P7" s="2">
        <v>46115</v>
      </c>
      <c r="Q7" t="s">
        <v>27</v>
      </c>
      <c r="R7" s="3">
        <v>12</v>
      </c>
      <c r="S7" s="3">
        <v>17.53</v>
      </c>
      <c r="T7" t="s">
        <v>39</v>
      </c>
      <c r="U7" t="s">
        <v>59</v>
      </c>
    </row>
    <row r="8" spans="1:21" x14ac:dyDescent="0.3">
      <c r="A8" t="s">
        <v>52</v>
      </c>
      <c r="B8" t="s">
        <v>30</v>
      </c>
      <c r="C8" t="s">
        <v>45</v>
      </c>
      <c r="D8">
        <v>6</v>
      </c>
      <c r="E8">
        <v>6</v>
      </c>
      <c r="F8">
        <v>1011</v>
      </c>
      <c r="G8">
        <f>1+1+100+17+7</f>
        <v>126</v>
      </c>
      <c r="H8">
        <v>0</v>
      </c>
      <c r="I8">
        <v>0</v>
      </c>
      <c r="J8">
        <v>0</v>
      </c>
      <c r="K8">
        <v>14.2</v>
      </c>
      <c r="L8">
        <v>1011</v>
      </c>
      <c r="M8">
        <v>1000</v>
      </c>
      <c r="N8" s="2">
        <v>46114</v>
      </c>
      <c r="O8" s="2">
        <v>46296</v>
      </c>
      <c r="P8" s="2">
        <v>46114</v>
      </c>
      <c r="Q8" t="s">
        <v>27</v>
      </c>
      <c r="R8" s="3">
        <v>6</v>
      </c>
      <c r="S8" s="3">
        <v>12.84</v>
      </c>
      <c r="T8" t="s">
        <v>40</v>
      </c>
      <c r="U8" t="s">
        <v>33</v>
      </c>
    </row>
    <row r="9" spans="1:21" x14ac:dyDescent="0.3">
      <c r="A9" t="s">
        <v>54</v>
      </c>
      <c r="B9" t="s">
        <v>30</v>
      </c>
      <c r="C9" t="s">
        <v>45</v>
      </c>
      <c r="D9">
        <v>6</v>
      </c>
      <c r="E9">
        <v>6</v>
      </c>
      <c r="F9">
        <v>1002</v>
      </c>
      <c r="G9">
        <f>52+3+69+70+51+5</f>
        <v>250</v>
      </c>
      <c r="H9">
        <v>0</v>
      </c>
      <c r="I9">
        <v>0</v>
      </c>
      <c r="J9">
        <v>0</v>
      </c>
      <c r="K9">
        <v>14.38</v>
      </c>
      <c r="L9">
        <v>1002</v>
      </c>
      <c r="M9">
        <v>1000</v>
      </c>
      <c r="N9" s="2">
        <v>46114</v>
      </c>
      <c r="O9" s="2">
        <v>46296</v>
      </c>
      <c r="P9" s="2">
        <v>46114</v>
      </c>
      <c r="Q9" t="s">
        <v>27</v>
      </c>
      <c r="R9" s="3">
        <v>6</v>
      </c>
      <c r="S9" s="3">
        <v>13</v>
      </c>
      <c r="T9" t="s">
        <v>40</v>
      </c>
      <c r="U9" t="s">
        <v>33</v>
      </c>
    </row>
    <row r="10" spans="1:21" x14ac:dyDescent="0.3">
      <c r="A10" t="s">
        <v>55</v>
      </c>
      <c r="B10" t="s">
        <v>30</v>
      </c>
      <c r="C10" t="s">
        <v>45</v>
      </c>
      <c r="D10">
        <v>5</v>
      </c>
      <c r="E10">
        <v>5</v>
      </c>
      <c r="F10">
        <v>1200</v>
      </c>
      <c r="G10">
        <f>119+1+2+8+2</f>
        <v>132</v>
      </c>
      <c r="H10">
        <v>0</v>
      </c>
      <c r="I10">
        <v>0</v>
      </c>
      <c r="J10">
        <v>0</v>
      </c>
      <c r="K10">
        <v>14.67</v>
      </c>
      <c r="L10">
        <v>1010</v>
      </c>
      <c r="M10">
        <v>1000</v>
      </c>
      <c r="N10" s="2">
        <v>46113</v>
      </c>
      <c r="O10" s="2">
        <v>46204</v>
      </c>
      <c r="P10" s="2">
        <v>46113</v>
      </c>
      <c r="Q10" t="s">
        <v>27</v>
      </c>
      <c r="R10" s="3">
        <v>3</v>
      </c>
      <c r="S10" s="3">
        <v>13.67</v>
      </c>
      <c r="T10" t="s">
        <v>40</v>
      </c>
      <c r="U10" t="s">
        <v>33</v>
      </c>
    </row>
    <row r="11" spans="1:21" x14ac:dyDescent="0.3">
      <c r="A11" t="s">
        <v>56</v>
      </c>
      <c r="B11" t="s">
        <v>57</v>
      </c>
      <c r="C11" t="s">
        <v>45</v>
      </c>
      <c r="D11">
        <v>30</v>
      </c>
      <c r="E11">
        <v>12</v>
      </c>
      <c r="F11">
        <v>1030</v>
      </c>
      <c r="G11">
        <f>71+1+31+36+22+500+50+865+2+52+56+38</f>
        <v>1724</v>
      </c>
      <c r="H11">
        <v>1080</v>
      </c>
      <c r="I11">
        <f>D11-E11</f>
        <v>18</v>
      </c>
      <c r="J11">
        <f>9+61+10+1+679+3+1+100+500+1000+1+100+1+200+1000+500+500+6</f>
        <v>4672</v>
      </c>
      <c r="K11">
        <v>21</v>
      </c>
      <c r="L11">
        <v>1054.5</v>
      </c>
      <c r="M11">
        <v>1000</v>
      </c>
      <c r="N11" s="2">
        <v>46112</v>
      </c>
      <c r="O11" s="2">
        <v>46477</v>
      </c>
      <c r="P11" s="2">
        <v>46113</v>
      </c>
      <c r="Q11" t="s">
        <v>27</v>
      </c>
      <c r="R11" s="3">
        <v>12</v>
      </c>
      <c r="S11" s="3">
        <v>2.2999999999999998</v>
      </c>
      <c r="T11" t="s">
        <v>39</v>
      </c>
      <c r="U11" t="s">
        <v>58</v>
      </c>
    </row>
    <row r="12" spans="1:21" x14ac:dyDescent="0.3">
      <c r="A12" t="s">
        <v>60</v>
      </c>
      <c r="B12" t="s">
        <v>61</v>
      </c>
      <c r="C12" t="s">
        <v>45</v>
      </c>
      <c r="D12">
        <v>5</v>
      </c>
      <c r="E12">
        <v>5</v>
      </c>
      <c r="F12">
        <v>1102</v>
      </c>
      <c r="G12">
        <f>500+11+22+4</f>
        <v>537</v>
      </c>
      <c r="H12">
        <v>0</v>
      </c>
      <c r="I12">
        <v>0</v>
      </c>
      <c r="J12">
        <v>0</v>
      </c>
      <c r="K12">
        <v>18.75</v>
      </c>
      <c r="L12">
        <v>1100</v>
      </c>
      <c r="M12">
        <v>1000</v>
      </c>
      <c r="N12" s="2">
        <v>46111</v>
      </c>
      <c r="O12" s="2">
        <v>46386</v>
      </c>
      <c r="P12" s="2">
        <v>46112</v>
      </c>
      <c r="Q12" t="s">
        <v>27</v>
      </c>
      <c r="R12" s="3">
        <v>9</v>
      </c>
      <c r="S12" s="3">
        <v>2.0499999999999998</v>
      </c>
      <c r="T12" t="s">
        <v>39</v>
      </c>
      <c r="U12" t="s">
        <v>59</v>
      </c>
    </row>
    <row r="13" spans="1:21" x14ac:dyDescent="0.3">
      <c r="A13" t="s">
        <v>62</v>
      </c>
      <c r="B13" t="s">
        <v>63</v>
      </c>
      <c r="C13" t="s">
        <v>45</v>
      </c>
      <c r="D13">
        <v>5</v>
      </c>
      <c r="E13">
        <v>5</v>
      </c>
      <c r="F13">
        <v>1015</v>
      </c>
      <c r="G13">
        <f>100+210+8+1+3</f>
        <v>322</v>
      </c>
      <c r="H13">
        <v>0</v>
      </c>
      <c r="I13">
        <v>0</v>
      </c>
      <c r="J13">
        <v>0</v>
      </c>
      <c r="K13">
        <v>18.600000000000001</v>
      </c>
      <c r="L13">
        <v>1015</v>
      </c>
      <c r="M13">
        <v>1000</v>
      </c>
      <c r="N13" s="2">
        <v>46108</v>
      </c>
      <c r="O13" s="2">
        <v>46290</v>
      </c>
      <c r="P13" s="2">
        <v>46111</v>
      </c>
      <c r="Q13" t="s">
        <v>27</v>
      </c>
      <c r="R13" s="3">
        <v>6</v>
      </c>
      <c r="S13" s="4">
        <v>3.57</v>
      </c>
      <c r="T13" t="s">
        <v>39</v>
      </c>
      <c r="U13" t="s">
        <v>59</v>
      </c>
    </row>
    <row r="14" spans="1:21" x14ac:dyDescent="0.3">
      <c r="A14" t="s">
        <v>64</v>
      </c>
      <c r="B14" t="s">
        <v>65</v>
      </c>
      <c r="C14" t="s">
        <v>45</v>
      </c>
      <c r="D14">
        <v>16</v>
      </c>
      <c r="E14">
        <v>9</v>
      </c>
      <c r="F14">
        <v>1010</v>
      </c>
      <c r="G14">
        <f>1+500+30+6+100+30+1+5+4</f>
        <v>677</v>
      </c>
      <c r="H14">
        <v>1049</v>
      </c>
      <c r="I14">
        <f>D14-E14</f>
        <v>7</v>
      </c>
      <c r="J14">
        <f>27+50+10+5+3+1+20</f>
        <v>116</v>
      </c>
      <c r="K14">
        <v>18</v>
      </c>
      <c r="L14">
        <v>1030</v>
      </c>
      <c r="M14">
        <v>1000</v>
      </c>
      <c r="N14" s="2">
        <v>46107</v>
      </c>
      <c r="O14" s="2">
        <v>46472</v>
      </c>
      <c r="P14" s="2">
        <v>46108</v>
      </c>
      <c r="Q14" t="s">
        <v>27</v>
      </c>
      <c r="R14" s="3">
        <v>12</v>
      </c>
      <c r="S14" s="3">
        <v>3.45</v>
      </c>
      <c r="T14" t="s">
        <v>39</v>
      </c>
      <c r="U14" t="s">
        <v>59</v>
      </c>
    </row>
    <row r="15" spans="1:21" x14ac:dyDescent="0.3">
      <c r="A15" t="s">
        <v>66</v>
      </c>
      <c r="B15" t="s">
        <v>67</v>
      </c>
      <c r="C15" t="s">
        <v>45</v>
      </c>
      <c r="D15">
        <v>18</v>
      </c>
      <c r="E15">
        <v>7</v>
      </c>
      <c r="F15">
        <v>1005</v>
      </c>
      <c r="G15">
        <f>10+496+100+53+34+100+250</f>
        <v>1043</v>
      </c>
      <c r="H15">
        <v>1007</v>
      </c>
      <c r="I15">
        <f>D15-E15</f>
        <v>11</v>
      </c>
      <c r="J15">
        <f>5+20+200+39+50+10+5+3+1+5+10</f>
        <v>348</v>
      </c>
      <c r="K15">
        <v>17.25</v>
      </c>
      <c r="L15">
        <v>1007.5</v>
      </c>
      <c r="M15">
        <v>1000</v>
      </c>
      <c r="N15" s="2">
        <v>46104</v>
      </c>
      <c r="O15" s="2">
        <v>46464</v>
      </c>
      <c r="P15" s="2">
        <v>46105</v>
      </c>
      <c r="Q15" t="s">
        <v>27</v>
      </c>
      <c r="R15" s="3">
        <v>12</v>
      </c>
      <c r="S15" s="3">
        <v>5.2</v>
      </c>
      <c r="T15" t="s">
        <v>39</v>
      </c>
      <c r="U15" t="s">
        <v>68</v>
      </c>
    </row>
    <row r="16" spans="1:21" x14ac:dyDescent="0.3">
      <c r="A16" t="s">
        <v>69</v>
      </c>
      <c r="B16" t="s">
        <v>30</v>
      </c>
      <c r="C16" t="s">
        <v>45</v>
      </c>
      <c r="D16">
        <v>12</v>
      </c>
      <c r="E16">
        <v>12</v>
      </c>
      <c r="F16">
        <v>1150</v>
      </c>
      <c r="G16">
        <f>2023+255+20+287+48+50+2+10+1+4+3+42</f>
        <v>2745</v>
      </c>
      <c r="H16">
        <v>0</v>
      </c>
      <c r="I16">
        <v>0</v>
      </c>
      <c r="J16">
        <v>0</v>
      </c>
      <c r="K16">
        <v>20</v>
      </c>
      <c r="L16">
        <v>1150</v>
      </c>
      <c r="M16">
        <v>1000</v>
      </c>
      <c r="N16" s="2">
        <v>46102</v>
      </c>
      <c r="O16" s="2">
        <v>46192</v>
      </c>
      <c r="P16" s="2">
        <v>46104</v>
      </c>
      <c r="Q16" t="s">
        <v>27</v>
      </c>
      <c r="R16" s="3">
        <v>3</v>
      </c>
      <c r="S16" s="3">
        <v>24.66</v>
      </c>
      <c r="T16" t="s">
        <v>40</v>
      </c>
      <c r="U16" t="s">
        <v>33</v>
      </c>
    </row>
    <row r="17" spans="1:21" x14ac:dyDescent="0.3">
      <c r="A17" t="s">
        <v>70</v>
      </c>
      <c r="B17" t="s">
        <v>30</v>
      </c>
      <c r="C17" t="s">
        <v>45</v>
      </c>
      <c r="D17">
        <v>9</v>
      </c>
      <c r="E17">
        <v>9</v>
      </c>
      <c r="F17">
        <v>1005</v>
      </c>
      <c r="G17">
        <f>2+1+200+11+10+2+52+5+1</f>
        <v>284</v>
      </c>
      <c r="H17">
        <v>0</v>
      </c>
      <c r="I17">
        <v>0</v>
      </c>
      <c r="J17">
        <v>0</v>
      </c>
      <c r="K17">
        <v>15.1</v>
      </c>
      <c r="L17">
        <v>1005</v>
      </c>
      <c r="M17">
        <v>1000</v>
      </c>
      <c r="N17" s="2">
        <v>46102</v>
      </c>
      <c r="O17" s="2">
        <v>46195</v>
      </c>
      <c r="P17" s="2">
        <v>46104</v>
      </c>
      <c r="Q17" t="s">
        <v>27</v>
      </c>
      <c r="R17" s="3">
        <v>3</v>
      </c>
      <c r="S17" s="3">
        <v>18.62</v>
      </c>
      <c r="T17" t="s">
        <v>40</v>
      </c>
      <c r="U17" t="s">
        <v>33</v>
      </c>
    </row>
    <row r="18" spans="1:21" x14ac:dyDescent="0.3">
      <c r="A18" t="s">
        <v>71</v>
      </c>
      <c r="B18" t="s">
        <v>30</v>
      </c>
      <c r="C18" t="s">
        <v>45</v>
      </c>
      <c r="D18">
        <v>3</v>
      </c>
      <c r="E18">
        <v>3</v>
      </c>
      <c r="F18">
        <v>1000</v>
      </c>
      <c r="G18">
        <v>103</v>
      </c>
      <c r="H18">
        <v>0</v>
      </c>
      <c r="I18">
        <v>0</v>
      </c>
      <c r="J18">
        <v>0</v>
      </c>
      <c r="K18">
        <v>14.2</v>
      </c>
      <c r="L18">
        <v>1000</v>
      </c>
      <c r="M18">
        <v>1000</v>
      </c>
      <c r="N18" s="2">
        <v>46100</v>
      </c>
      <c r="O18" s="2">
        <v>46464</v>
      </c>
      <c r="P18" s="2">
        <v>46100</v>
      </c>
      <c r="Q18" t="s">
        <v>27</v>
      </c>
      <c r="R18" s="3">
        <v>12</v>
      </c>
      <c r="S18" s="3">
        <v>18.28</v>
      </c>
      <c r="T18" t="s">
        <v>40</v>
      </c>
      <c r="U18" t="s">
        <v>33</v>
      </c>
    </row>
    <row r="19" spans="1:21" x14ac:dyDescent="0.3">
      <c r="A19" t="s">
        <v>72</v>
      </c>
      <c r="B19" t="s">
        <v>30</v>
      </c>
      <c r="C19" t="s">
        <v>45</v>
      </c>
      <c r="D19">
        <v>3</v>
      </c>
      <c r="E19">
        <v>3</v>
      </c>
      <c r="F19">
        <v>1002</v>
      </c>
      <c r="G19">
        <v>66</v>
      </c>
      <c r="H19">
        <v>0</v>
      </c>
      <c r="I19">
        <v>0</v>
      </c>
      <c r="J19">
        <v>0</v>
      </c>
      <c r="K19">
        <v>14.9</v>
      </c>
      <c r="L19">
        <v>1002</v>
      </c>
      <c r="M19">
        <v>1000</v>
      </c>
      <c r="N19" s="2">
        <v>46100</v>
      </c>
      <c r="O19" s="2">
        <v>46191</v>
      </c>
      <c r="P19" s="2">
        <v>46100</v>
      </c>
      <c r="Q19" t="s">
        <v>27</v>
      </c>
      <c r="R19" s="3">
        <v>3</v>
      </c>
      <c r="S19" s="3">
        <v>19.190000000000001</v>
      </c>
      <c r="T19" t="s">
        <v>40</v>
      </c>
      <c r="U19" t="s">
        <v>33</v>
      </c>
    </row>
    <row r="20" spans="1:21" x14ac:dyDescent="0.3">
      <c r="A20" t="s">
        <v>73</v>
      </c>
      <c r="B20" t="s">
        <v>30</v>
      </c>
      <c r="C20" t="s">
        <v>45</v>
      </c>
      <c r="D20">
        <v>2</v>
      </c>
      <c r="E20">
        <v>1</v>
      </c>
      <c r="F20">
        <v>960</v>
      </c>
      <c r="G20">
        <v>50</v>
      </c>
      <c r="H20">
        <v>1199</v>
      </c>
      <c r="I20">
        <v>1</v>
      </c>
      <c r="J20">
        <v>3</v>
      </c>
      <c r="K20">
        <v>14</v>
      </c>
      <c r="L20">
        <v>1079.5</v>
      </c>
      <c r="M20">
        <v>1000</v>
      </c>
      <c r="N20" s="2">
        <v>46100</v>
      </c>
      <c r="O20" s="2">
        <v>46464</v>
      </c>
      <c r="P20" s="2">
        <v>46100</v>
      </c>
      <c r="Q20" t="s">
        <v>27</v>
      </c>
      <c r="R20" s="3">
        <v>12</v>
      </c>
      <c r="S20" s="3">
        <v>18.03</v>
      </c>
      <c r="T20" t="s">
        <v>40</v>
      </c>
      <c r="U20" t="s">
        <v>33</v>
      </c>
    </row>
    <row r="21" spans="1:21" x14ac:dyDescent="0.3">
      <c r="A21" t="s">
        <v>74</v>
      </c>
      <c r="B21" t="s">
        <v>30</v>
      </c>
      <c r="C21" t="s">
        <v>45</v>
      </c>
      <c r="D21">
        <v>9</v>
      </c>
      <c r="E21">
        <v>9</v>
      </c>
      <c r="F21">
        <v>1000</v>
      </c>
      <c r="G21">
        <f>4+50+6+4+1+5+5+36+100</f>
        <v>211</v>
      </c>
      <c r="H21">
        <v>0</v>
      </c>
      <c r="I21">
        <v>0</v>
      </c>
      <c r="J21">
        <v>0</v>
      </c>
      <c r="K21">
        <v>14.5</v>
      </c>
      <c r="L21">
        <v>858</v>
      </c>
      <c r="M21">
        <v>1000</v>
      </c>
      <c r="N21" s="2">
        <v>46100</v>
      </c>
      <c r="O21" s="2">
        <v>46098</v>
      </c>
      <c r="P21" s="2">
        <v>46100</v>
      </c>
      <c r="Q21" t="s">
        <v>27</v>
      </c>
      <c r="R21" s="3">
        <v>24</v>
      </c>
      <c r="S21" s="3">
        <v>18.670000000000002</v>
      </c>
      <c r="T21" t="s">
        <v>40</v>
      </c>
      <c r="U21" t="s">
        <v>33</v>
      </c>
    </row>
    <row r="22" spans="1:21" x14ac:dyDescent="0.3">
      <c r="A22" t="s">
        <v>75</v>
      </c>
      <c r="B22" t="s">
        <v>30</v>
      </c>
      <c r="C22" t="s">
        <v>45</v>
      </c>
      <c r="D22">
        <v>2</v>
      </c>
      <c r="E22">
        <v>2</v>
      </c>
      <c r="F22">
        <v>1001</v>
      </c>
      <c r="G22">
        <f>129+5</f>
        <v>134</v>
      </c>
      <c r="H22">
        <v>0</v>
      </c>
      <c r="I22">
        <v>0</v>
      </c>
      <c r="J22">
        <v>0</v>
      </c>
      <c r="K22">
        <v>15</v>
      </c>
      <c r="L22">
        <v>1001</v>
      </c>
      <c r="M22">
        <v>1000</v>
      </c>
      <c r="N22" s="2">
        <v>46100</v>
      </c>
      <c r="O22" s="2">
        <v>46283</v>
      </c>
      <c r="P22" s="2">
        <v>46100</v>
      </c>
      <c r="Q22" t="s">
        <v>27</v>
      </c>
      <c r="R22" s="3">
        <v>6</v>
      </c>
      <c r="S22" s="3">
        <v>19.32</v>
      </c>
      <c r="T22" t="s">
        <v>40</v>
      </c>
      <c r="U22" t="s">
        <v>33</v>
      </c>
    </row>
    <row r="23" spans="1:21" x14ac:dyDescent="0.3">
      <c r="A23" t="s">
        <v>76</v>
      </c>
      <c r="B23" t="s">
        <v>30</v>
      </c>
      <c r="C23" t="s">
        <v>45</v>
      </c>
      <c r="D23">
        <v>2</v>
      </c>
      <c r="E23">
        <v>2</v>
      </c>
      <c r="F23">
        <v>1000</v>
      </c>
      <c r="G23">
        <v>101</v>
      </c>
      <c r="H23">
        <v>0</v>
      </c>
      <c r="I23">
        <v>0</v>
      </c>
      <c r="J23">
        <v>0</v>
      </c>
      <c r="K23">
        <v>14.3</v>
      </c>
      <c r="L23">
        <v>1000</v>
      </c>
      <c r="M23">
        <v>1000</v>
      </c>
      <c r="N23" s="2">
        <v>46100</v>
      </c>
      <c r="O23" s="2">
        <v>46650</v>
      </c>
      <c r="P23" s="2">
        <v>46100</v>
      </c>
      <c r="Q23" t="s">
        <v>27</v>
      </c>
      <c r="R23" s="3">
        <v>18</v>
      </c>
      <c r="S23" s="3">
        <v>18.41</v>
      </c>
      <c r="T23" t="s">
        <v>40</v>
      </c>
      <c r="U23" t="s">
        <v>33</v>
      </c>
    </row>
    <row r="24" spans="1:21" x14ac:dyDescent="0.3">
      <c r="A24" t="s">
        <v>77</v>
      </c>
      <c r="B24" t="s">
        <v>30</v>
      </c>
      <c r="C24" t="s">
        <v>45</v>
      </c>
      <c r="D24">
        <v>3</v>
      </c>
      <c r="E24">
        <v>2</v>
      </c>
      <c r="F24">
        <v>990</v>
      </c>
      <c r="G24">
        <v>150</v>
      </c>
      <c r="H24">
        <v>1199</v>
      </c>
      <c r="I24">
        <v>1</v>
      </c>
      <c r="J24">
        <v>8</v>
      </c>
      <c r="K24">
        <v>14.7</v>
      </c>
      <c r="L24">
        <v>1099.5</v>
      </c>
      <c r="M24">
        <v>1000</v>
      </c>
      <c r="N24" s="2">
        <v>46100</v>
      </c>
      <c r="O24" s="2">
        <v>46283</v>
      </c>
      <c r="P24" s="2">
        <v>46100</v>
      </c>
      <c r="Q24" t="s">
        <v>27</v>
      </c>
      <c r="R24" s="3">
        <v>6</v>
      </c>
      <c r="S24" s="3">
        <v>18.93</v>
      </c>
      <c r="T24" t="s">
        <v>40</v>
      </c>
      <c r="U24" t="s">
        <v>33</v>
      </c>
    </row>
    <row r="25" spans="1:21" x14ac:dyDescent="0.3">
      <c r="A25" t="s">
        <v>78</v>
      </c>
      <c r="B25" t="s">
        <v>30</v>
      </c>
      <c r="C25" t="s">
        <v>45</v>
      </c>
      <c r="D25">
        <v>4</v>
      </c>
      <c r="E25">
        <v>2</v>
      </c>
      <c r="F25">
        <v>1001</v>
      </c>
      <c r="G25">
        <v>1100</v>
      </c>
      <c r="H25">
        <v>1070</v>
      </c>
      <c r="I25">
        <v>3</v>
      </c>
      <c r="J25">
        <v>15</v>
      </c>
      <c r="K25">
        <v>14.9</v>
      </c>
      <c r="L25">
        <v>1048</v>
      </c>
      <c r="M25">
        <v>1000</v>
      </c>
      <c r="N25" s="2">
        <v>46100</v>
      </c>
      <c r="O25" s="2">
        <v>46191</v>
      </c>
      <c r="P25" s="2">
        <v>46100</v>
      </c>
      <c r="Q25" t="s">
        <v>27</v>
      </c>
      <c r="R25" s="3">
        <v>3</v>
      </c>
      <c r="S25" s="3">
        <v>19.190000000000001</v>
      </c>
      <c r="T25" t="s">
        <v>40</v>
      </c>
      <c r="U25" t="s">
        <v>33</v>
      </c>
    </row>
    <row r="26" spans="1:21" x14ac:dyDescent="0.3">
      <c r="A26" t="s">
        <v>79</v>
      </c>
      <c r="B26" t="s">
        <v>30</v>
      </c>
      <c r="C26" t="s">
        <v>45</v>
      </c>
      <c r="D26">
        <v>2</v>
      </c>
      <c r="E26">
        <v>4</v>
      </c>
      <c r="F26">
        <v>1021</v>
      </c>
      <c r="G26">
        <f>20+1+3+100</f>
        <v>124</v>
      </c>
      <c r="H26">
        <v>0</v>
      </c>
      <c r="I26">
        <v>0</v>
      </c>
      <c r="J26">
        <v>0</v>
      </c>
      <c r="K26">
        <v>15</v>
      </c>
      <c r="L26">
        <v>1010</v>
      </c>
      <c r="M26">
        <v>1000</v>
      </c>
      <c r="N26" s="2">
        <v>46100</v>
      </c>
      <c r="O26" s="2">
        <v>46100</v>
      </c>
      <c r="P26" s="2">
        <v>46100</v>
      </c>
      <c r="Q26" t="s">
        <v>27</v>
      </c>
      <c r="R26" s="3">
        <v>36</v>
      </c>
      <c r="S26" s="3">
        <v>19.32</v>
      </c>
      <c r="T26" t="s">
        <v>40</v>
      </c>
      <c r="U26" t="s">
        <v>33</v>
      </c>
    </row>
    <row r="27" spans="1:21" x14ac:dyDescent="0.3">
      <c r="A27" t="s">
        <v>80</v>
      </c>
      <c r="B27" t="s">
        <v>30</v>
      </c>
      <c r="C27" t="s">
        <v>45</v>
      </c>
      <c r="D27">
        <v>5</v>
      </c>
      <c r="E27">
        <v>4</v>
      </c>
      <c r="F27">
        <v>1002</v>
      </c>
      <c r="G27">
        <f>344+200+1+50</f>
        <v>595</v>
      </c>
      <c r="H27">
        <v>1050</v>
      </c>
      <c r="I27">
        <v>1</v>
      </c>
      <c r="J27">
        <v>39</v>
      </c>
      <c r="K27">
        <v>15</v>
      </c>
      <c r="L27">
        <v>1022</v>
      </c>
      <c r="M27">
        <v>1000</v>
      </c>
      <c r="N27" s="2">
        <v>46100</v>
      </c>
      <c r="O27" s="2">
        <v>46100</v>
      </c>
      <c r="P27" s="2">
        <v>46100</v>
      </c>
      <c r="Q27" t="s">
        <v>27</v>
      </c>
      <c r="R27" s="3">
        <v>36</v>
      </c>
      <c r="S27" s="3">
        <v>19.32</v>
      </c>
      <c r="T27" t="s">
        <v>40</v>
      </c>
      <c r="U27" t="s">
        <v>33</v>
      </c>
    </row>
    <row r="28" spans="1:21" x14ac:dyDescent="0.3">
      <c r="A28" t="s">
        <v>81</v>
      </c>
      <c r="B28" t="s">
        <v>30</v>
      </c>
      <c r="C28" t="s">
        <v>45</v>
      </c>
      <c r="D28">
        <v>1</v>
      </c>
      <c r="E28">
        <v>1</v>
      </c>
      <c r="F28">
        <v>1000</v>
      </c>
      <c r="G28">
        <v>102</v>
      </c>
      <c r="H28">
        <v>0</v>
      </c>
      <c r="I28">
        <v>0</v>
      </c>
      <c r="J28">
        <v>0</v>
      </c>
      <c r="K28">
        <v>14.7</v>
      </c>
      <c r="L28">
        <v>1000</v>
      </c>
      <c r="M28">
        <v>1000</v>
      </c>
      <c r="N28" s="2">
        <v>46100</v>
      </c>
      <c r="O28" s="2">
        <v>46313</v>
      </c>
      <c r="P28" s="2">
        <v>46100</v>
      </c>
      <c r="Q28" t="s">
        <v>27</v>
      </c>
      <c r="R28" s="3">
        <v>6</v>
      </c>
      <c r="S28" s="3">
        <v>18.93</v>
      </c>
      <c r="T28" t="s">
        <v>40</v>
      </c>
      <c r="U28" t="s">
        <v>33</v>
      </c>
    </row>
    <row r="29" spans="1:21" x14ac:dyDescent="0.3">
      <c r="A29" t="s">
        <v>83</v>
      </c>
      <c r="B29" t="s">
        <v>30</v>
      </c>
      <c r="C29" t="s">
        <v>45</v>
      </c>
      <c r="D29">
        <v>2</v>
      </c>
      <c r="E29">
        <v>2</v>
      </c>
      <c r="F29">
        <v>1001</v>
      </c>
      <c r="G29">
        <v>128</v>
      </c>
      <c r="H29">
        <v>0</v>
      </c>
      <c r="I29">
        <v>0</v>
      </c>
      <c r="J29">
        <v>0</v>
      </c>
      <c r="K29">
        <v>15</v>
      </c>
      <c r="L29">
        <v>1001</v>
      </c>
      <c r="M29">
        <v>1000</v>
      </c>
      <c r="N29" s="2">
        <v>46100</v>
      </c>
      <c r="O29" s="2">
        <v>46191</v>
      </c>
      <c r="P29" s="2">
        <v>46100</v>
      </c>
      <c r="Q29" t="s">
        <v>27</v>
      </c>
      <c r="R29" s="3">
        <v>3</v>
      </c>
      <c r="S29" s="3">
        <v>19.32</v>
      </c>
      <c r="T29" t="s">
        <v>40</v>
      </c>
      <c r="U29" t="s">
        <v>33</v>
      </c>
    </row>
    <row r="30" spans="1:21" x14ac:dyDescent="0.3">
      <c r="A30" t="s">
        <v>84</v>
      </c>
      <c r="B30" t="s">
        <v>30</v>
      </c>
      <c r="C30" t="s">
        <v>45</v>
      </c>
      <c r="D30">
        <v>1</v>
      </c>
      <c r="E30">
        <v>1</v>
      </c>
      <c r="F30">
        <v>1001</v>
      </c>
      <c r="G30">
        <v>98</v>
      </c>
      <c r="H30">
        <v>0</v>
      </c>
      <c r="I30">
        <v>0</v>
      </c>
      <c r="J30">
        <v>0</v>
      </c>
      <c r="K30">
        <v>15.1</v>
      </c>
      <c r="L30">
        <v>1000</v>
      </c>
      <c r="M30">
        <v>1000</v>
      </c>
      <c r="N30" s="2">
        <v>46100</v>
      </c>
      <c r="O30" s="2">
        <v>46191</v>
      </c>
      <c r="P30" s="2">
        <v>46100</v>
      </c>
      <c r="Q30" t="s">
        <v>27</v>
      </c>
      <c r="R30" s="3">
        <v>3</v>
      </c>
      <c r="S30" s="3">
        <v>19.440000000000001</v>
      </c>
      <c r="T30" t="s">
        <v>40</v>
      </c>
      <c r="U30" t="s">
        <v>33</v>
      </c>
    </row>
    <row r="31" spans="1:21" x14ac:dyDescent="0.3">
      <c r="A31" t="s">
        <v>85</v>
      </c>
      <c r="B31" t="s">
        <v>86</v>
      </c>
      <c r="C31" t="s">
        <v>45</v>
      </c>
      <c r="D31">
        <v>8</v>
      </c>
      <c r="E31">
        <v>7</v>
      </c>
      <c r="F31">
        <v>1001</v>
      </c>
      <c r="G31">
        <f>200+1000+32+50+180+101+3</f>
        <v>1566</v>
      </c>
      <c r="H31">
        <v>1017</v>
      </c>
      <c r="I31">
        <v>1</v>
      </c>
      <c r="J31">
        <v>139</v>
      </c>
      <c r="K31">
        <v>16.25</v>
      </c>
      <c r="L31">
        <v>1009</v>
      </c>
      <c r="M31">
        <v>1000</v>
      </c>
      <c r="N31" s="2">
        <v>46098</v>
      </c>
      <c r="O31" s="2">
        <v>46190</v>
      </c>
      <c r="P31" s="2">
        <v>46099</v>
      </c>
      <c r="Q31" t="s">
        <v>27</v>
      </c>
      <c r="R31" s="3">
        <v>3</v>
      </c>
      <c r="S31" s="3">
        <v>7.57</v>
      </c>
      <c r="T31" t="s">
        <v>39</v>
      </c>
      <c r="U31" t="s">
        <v>87</v>
      </c>
    </row>
    <row r="32" spans="1:21" x14ac:dyDescent="0.3">
      <c r="A32" t="s">
        <v>88</v>
      </c>
      <c r="B32" t="s">
        <v>89</v>
      </c>
      <c r="C32" t="s">
        <v>45</v>
      </c>
      <c r="D32">
        <v>14</v>
      </c>
      <c r="E32">
        <v>12</v>
      </c>
      <c r="F32">
        <v>1020</v>
      </c>
      <c r="G32">
        <f>6+100+38+79+1+20+5+500+100+30+500+200</f>
        <v>1579</v>
      </c>
      <c r="H32">
        <v>1100</v>
      </c>
      <c r="I32">
        <v>2</v>
      </c>
      <c r="J32">
        <v>8</v>
      </c>
      <c r="K32">
        <v>18.5</v>
      </c>
      <c r="L32">
        <v>1010</v>
      </c>
      <c r="M32">
        <v>1000</v>
      </c>
      <c r="N32" s="2">
        <v>46098</v>
      </c>
      <c r="O32" s="2">
        <v>46463</v>
      </c>
      <c r="P32" s="2">
        <v>46099</v>
      </c>
      <c r="Q32" t="s">
        <v>27</v>
      </c>
      <c r="R32" s="3">
        <v>12</v>
      </c>
      <c r="S32" s="3">
        <v>8.6199999999999992</v>
      </c>
      <c r="T32" t="s">
        <v>39</v>
      </c>
      <c r="U32" t="s">
        <v>90</v>
      </c>
    </row>
    <row r="33" spans="1:21" x14ac:dyDescent="0.3">
      <c r="A33" t="s">
        <v>91</v>
      </c>
      <c r="B33" t="s">
        <v>92</v>
      </c>
      <c r="C33" t="s">
        <v>45</v>
      </c>
      <c r="D33">
        <v>18</v>
      </c>
      <c r="E33">
        <v>10</v>
      </c>
      <c r="F33">
        <v>1030</v>
      </c>
      <c r="G33">
        <f>4+295+976+1000+1052+15+100+30+50+200</f>
        <v>3722</v>
      </c>
      <c r="H33">
        <v>1050</v>
      </c>
      <c r="I33">
        <v>8</v>
      </c>
      <c r="J33">
        <f>10+40+2+5+5+5+43+61</f>
        <v>171</v>
      </c>
      <c r="K33">
        <v>17.25</v>
      </c>
      <c r="L33">
        <v>1032</v>
      </c>
      <c r="M33">
        <v>1000</v>
      </c>
      <c r="N33" s="2">
        <v>46098</v>
      </c>
      <c r="O33" s="2">
        <v>46677</v>
      </c>
      <c r="P33" s="2">
        <v>46099</v>
      </c>
      <c r="Q33" t="s">
        <v>27</v>
      </c>
      <c r="R33" s="3">
        <v>18</v>
      </c>
      <c r="S33" s="3">
        <v>8.0299999999999994</v>
      </c>
      <c r="T33" t="s">
        <v>39</v>
      </c>
      <c r="U33" t="s">
        <v>59</v>
      </c>
    </row>
    <row r="34" spans="1:21" x14ac:dyDescent="0.3">
      <c r="A34" t="s">
        <v>82</v>
      </c>
      <c r="B34" t="s">
        <v>30</v>
      </c>
      <c r="C34" t="s">
        <v>45</v>
      </c>
      <c r="D34">
        <v>4</v>
      </c>
      <c r="E34">
        <v>4</v>
      </c>
      <c r="F34">
        <v>1024</v>
      </c>
      <c r="G34">
        <f>101+288+110+2</f>
        <v>501</v>
      </c>
      <c r="H34">
        <v>0</v>
      </c>
      <c r="I34">
        <v>0</v>
      </c>
      <c r="J34">
        <v>0</v>
      </c>
      <c r="K34">
        <v>20</v>
      </c>
      <c r="L34">
        <v>1023</v>
      </c>
      <c r="M34">
        <v>1000</v>
      </c>
      <c r="N34" s="2">
        <v>46098</v>
      </c>
      <c r="O34" s="2">
        <v>46189</v>
      </c>
      <c r="P34" s="2">
        <v>46098</v>
      </c>
      <c r="Q34" t="s">
        <v>27</v>
      </c>
      <c r="R34" s="3">
        <v>3</v>
      </c>
      <c r="S34" s="3">
        <v>26.85</v>
      </c>
      <c r="T34" t="s">
        <v>40</v>
      </c>
      <c r="U34" t="s">
        <v>33</v>
      </c>
    </row>
    <row r="35" spans="1:21" x14ac:dyDescent="0.3">
      <c r="A35" t="s">
        <v>93</v>
      </c>
      <c r="B35" t="s">
        <v>30</v>
      </c>
      <c r="C35" t="s">
        <v>94</v>
      </c>
      <c r="D35">
        <v>7</v>
      </c>
      <c r="E35">
        <v>7</v>
      </c>
      <c r="F35">
        <v>127</v>
      </c>
      <c r="G35">
        <f>152+1+1+210+22+11+2</f>
        <v>399</v>
      </c>
      <c r="H35">
        <v>0</v>
      </c>
      <c r="I35">
        <v>0</v>
      </c>
      <c r="J35">
        <v>0</v>
      </c>
      <c r="K35" t="s">
        <v>95</v>
      </c>
      <c r="L35">
        <v>123.5</v>
      </c>
      <c r="M35">
        <v>133</v>
      </c>
      <c r="N35" s="2">
        <v>46097</v>
      </c>
      <c r="O35" s="2">
        <v>46476</v>
      </c>
      <c r="P35" s="2">
        <v>46098</v>
      </c>
      <c r="Q35" t="s">
        <v>96</v>
      </c>
      <c r="R35" s="3">
        <v>12</v>
      </c>
      <c r="U35" t="s">
        <v>33</v>
      </c>
    </row>
    <row r="36" spans="1:21" x14ac:dyDescent="0.3">
      <c r="A36" t="s">
        <v>97</v>
      </c>
      <c r="B36" t="s">
        <v>30</v>
      </c>
      <c r="C36" t="s">
        <v>94</v>
      </c>
      <c r="D36">
        <v>0</v>
      </c>
      <c r="E36">
        <v>9</v>
      </c>
      <c r="F36">
        <v>131</v>
      </c>
      <c r="G36">
        <f>151+6+111+20+14+1+10+1+2</f>
        <v>316</v>
      </c>
      <c r="H36">
        <v>0</v>
      </c>
      <c r="I36">
        <v>0</v>
      </c>
      <c r="J36">
        <v>0</v>
      </c>
      <c r="K36" t="s">
        <v>95</v>
      </c>
      <c r="L36">
        <v>132</v>
      </c>
      <c r="M36">
        <v>134</v>
      </c>
      <c r="N36" s="2">
        <v>46094</v>
      </c>
      <c r="O36" s="2">
        <v>46475</v>
      </c>
      <c r="P36" s="2">
        <v>46097</v>
      </c>
      <c r="Q36" t="s">
        <v>96</v>
      </c>
      <c r="R36" s="3">
        <v>12</v>
      </c>
      <c r="U36" t="s">
        <v>33</v>
      </c>
    </row>
    <row r="37" spans="1:21" x14ac:dyDescent="0.3">
      <c r="A37" t="s">
        <v>98</v>
      </c>
      <c r="B37" t="s">
        <v>99</v>
      </c>
      <c r="C37" t="s">
        <v>45</v>
      </c>
      <c r="D37">
        <v>22</v>
      </c>
      <c r="E37">
        <v>8</v>
      </c>
      <c r="F37">
        <v>1000</v>
      </c>
      <c r="G37">
        <f>7+40+7+5+30+12+100+207</f>
        <v>408</v>
      </c>
      <c r="H37">
        <v>1020</v>
      </c>
      <c r="I37">
        <v>14</v>
      </c>
      <c r="J37">
        <f>20+1+3+5+7+10+50+16+50+1+1+140+149+1</f>
        <v>454</v>
      </c>
      <c r="K37">
        <v>19.5</v>
      </c>
      <c r="L37">
        <v>1010</v>
      </c>
      <c r="M37">
        <v>1000</v>
      </c>
      <c r="N37" s="2">
        <v>46094</v>
      </c>
      <c r="O37" s="2">
        <v>46216</v>
      </c>
      <c r="P37" s="2">
        <v>46097</v>
      </c>
      <c r="Q37" t="s">
        <v>27</v>
      </c>
      <c r="R37" s="3">
        <v>4</v>
      </c>
      <c r="S37" s="3">
        <v>11.22</v>
      </c>
      <c r="T37" t="s">
        <v>39</v>
      </c>
      <c r="U37" t="s">
        <v>59</v>
      </c>
    </row>
    <row r="38" spans="1:21" x14ac:dyDescent="0.3">
      <c r="A38" t="s">
        <v>102</v>
      </c>
      <c r="B38" t="s">
        <v>30</v>
      </c>
      <c r="C38" t="s">
        <v>45</v>
      </c>
      <c r="D38">
        <v>3</v>
      </c>
      <c r="E38">
        <v>3</v>
      </c>
      <c r="F38">
        <v>1047</v>
      </c>
      <c r="G38">
        <f>3+287+629</f>
        <v>919</v>
      </c>
      <c r="H38">
        <v>0</v>
      </c>
      <c r="I38">
        <v>0</v>
      </c>
      <c r="J38">
        <v>0</v>
      </c>
      <c r="K38">
        <v>20</v>
      </c>
      <c r="L38">
        <v>1047</v>
      </c>
      <c r="M38">
        <v>1000</v>
      </c>
      <c r="N38" s="2">
        <v>46094</v>
      </c>
      <c r="O38" s="2">
        <v>46188</v>
      </c>
      <c r="P38" s="2">
        <v>46094</v>
      </c>
      <c r="Q38" t="s">
        <v>27</v>
      </c>
      <c r="R38" s="3">
        <v>3</v>
      </c>
      <c r="S38" s="3">
        <v>29.04</v>
      </c>
      <c r="T38" t="s">
        <v>40</v>
      </c>
      <c r="U38" t="s">
        <v>33</v>
      </c>
    </row>
    <row r="39" spans="1:21" x14ac:dyDescent="0.3">
      <c r="A39" t="s">
        <v>103</v>
      </c>
      <c r="B39" t="s">
        <v>30</v>
      </c>
      <c r="C39" t="s">
        <v>45</v>
      </c>
      <c r="D39">
        <v>4</v>
      </c>
      <c r="E39">
        <v>4</v>
      </c>
      <c r="F39">
        <v>1012</v>
      </c>
      <c r="G39">
        <f>2+57+100+95</f>
        <v>254</v>
      </c>
      <c r="H39">
        <v>0</v>
      </c>
      <c r="I39">
        <v>0</v>
      </c>
      <c r="J39">
        <v>0</v>
      </c>
      <c r="K39">
        <v>19</v>
      </c>
      <c r="L39">
        <v>1012</v>
      </c>
      <c r="M39">
        <v>1000</v>
      </c>
      <c r="N39" s="2">
        <v>46093</v>
      </c>
      <c r="O39" s="2">
        <v>46279</v>
      </c>
      <c r="P39" s="2">
        <v>46093</v>
      </c>
      <c r="Q39" t="s">
        <v>27</v>
      </c>
      <c r="R39" s="3">
        <v>6</v>
      </c>
      <c r="S39" s="3">
        <v>28.11</v>
      </c>
      <c r="T39" t="s">
        <v>40</v>
      </c>
      <c r="U39" t="s">
        <v>33</v>
      </c>
    </row>
    <row r="40" spans="1:21" x14ac:dyDescent="0.3">
      <c r="A40" t="s">
        <v>104</v>
      </c>
      <c r="B40" t="s">
        <v>30</v>
      </c>
      <c r="C40" t="s">
        <v>45</v>
      </c>
      <c r="D40">
        <v>7</v>
      </c>
      <c r="E40">
        <v>5</v>
      </c>
      <c r="F40">
        <v>120</v>
      </c>
      <c r="G40">
        <f>1+19+20+100+150</f>
        <v>290</v>
      </c>
      <c r="H40">
        <v>127</v>
      </c>
      <c r="I40">
        <v>2</v>
      </c>
      <c r="J40">
        <f>39+61</f>
        <v>100</v>
      </c>
      <c r="K40" t="s">
        <v>95</v>
      </c>
      <c r="L40">
        <v>123.5</v>
      </c>
      <c r="M40">
        <v>134</v>
      </c>
      <c r="N40" s="2">
        <v>46092</v>
      </c>
      <c r="O40" s="2">
        <v>46471</v>
      </c>
      <c r="P40" s="2">
        <v>46093</v>
      </c>
      <c r="Q40" t="s">
        <v>96</v>
      </c>
      <c r="R40" s="3">
        <v>12</v>
      </c>
    </row>
    <row r="41" spans="1:21" x14ac:dyDescent="0.3">
      <c r="A41" t="s">
        <v>105</v>
      </c>
      <c r="B41" t="s">
        <v>30</v>
      </c>
      <c r="C41" t="s">
        <v>45</v>
      </c>
      <c r="D41">
        <v>4</v>
      </c>
      <c r="E41">
        <v>4</v>
      </c>
      <c r="F41">
        <v>130</v>
      </c>
      <c r="G41">
        <f>100+18+101+150</f>
        <v>369</v>
      </c>
      <c r="H41">
        <v>0</v>
      </c>
      <c r="I41">
        <v>0</v>
      </c>
      <c r="J41">
        <v>0</v>
      </c>
      <c r="K41" t="s">
        <v>95</v>
      </c>
      <c r="L41">
        <v>132</v>
      </c>
      <c r="M41">
        <v>132</v>
      </c>
      <c r="N41" s="2">
        <v>46091</v>
      </c>
      <c r="O41" s="2">
        <v>46470</v>
      </c>
      <c r="P41" s="2">
        <v>46092</v>
      </c>
      <c r="Q41" t="s">
        <v>96</v>
      </c>
      <c r="R41" s="3">
        <v>12</v>
      </c>
    </row>
    <row r="42" spans="1:21" x14ac:dyDescent="0.3">
      <c r="A42" t="s">
        <v>106</v>
      </c>
      <c r="B42" t="s">
        <v>107</v>
      </c>
      <c r="C42" t="s">
        <v>45</v>
      </c>
      <c r="D42">
        <v>11</v>
      </c>
      <c r="E42">
        <v>9</v>
      </c>
      <c r="F42">
        <v>1002</v>
      </c>
      <c r="G42">
        <f>101+20+28+100+3+6+500+500+1</f>
        <v>1259</v>
      </c>
      <c r="H42">
        <v>1020</v>
      </c>
      <c r="I42">
        <v>2</v>
      </c>
      <c r="J42">
        <v>4</v>
      </c>
      <c r="K42">
        <v>17.5</v>
      </c>
      <c r="L42">
        <v>1011</v>
      </c>
      <c r="M42">
        <v>1000</v>
      </c>
      <c r="N42" s="2">
        <v>46091</v>
      </c>
      <c r="O42" s="2">
        <v>46183</v>
      </c>
      <c r="P42" s="2">
        <v>46092</v>
      </c>
      <c r="Q42" t="s">
        <v>27</v>
      </c>
      <c r="R42" s="3">
        <v>3</v>
      </c>
      <c r="S42" s="3">
        <v>11.51</v>
      </c>
      <c r="T42" t="s">
        <v>39</v>
      </c>
    </row>
    <row r="43" spans="1:21" x14ac:dyDescent="0.3">
      <c r="A43" t="s">
        <v>108</v>
      </c>
      <c r="B43" t="s">
        <v>30</v>
      </c>
      <c r="C43" t="s">
        <v>94</v>
      </c>
      <c r="D43">
        <v>6</v>
      </c>
      <c r="E43">
        <v>6</v>
      </c>
      <c r="F43">
        <v>121</v>
      </c>
      <c r="G43">
        <f>4+27+25+100+1+2</f>
        <v>159</v>
      </c>
      <c r="H43">
        <v>0</v>
      </c>
      <c r="I43">
        <v>0</v>
      </c>
      <c r="J43">
        <v>0</v>
      </c>
      <c r="K43" t="s">
        <v>95</v>
      </c>
      <c r="L43">
        <v>126.5</v>
      </c>
      <c r="M43">
        <v>132</v>
      </c>
      <c r="N43" s="2">
        <v>46087</v>
      </c>
      <c r="O43" s="2">
        <v>46469</v>
      </c>
      <c r="P43" s="2">
        <v>46091</v>
      </c>
      <c r="Q43" t="s">
        <v>96</v>
      </c>
      <c r="R43" s="3">
        <v>12</v>
      </c>
    </row>
    <row r="44" spans="1:21" x14ac:dyDescent="0.3">
      <c r="A44" t="s">
        <v>109</v>
      </c>
      <c r="B44" t="s">
        <v>30</v>
      </c>
      <c r="C44" t="s">
        <v>45</v>
      </c>
      <c r="D44">
        <v>3</v>
      </c>
      <c r="E44">
        <v>3</v>
      </c>
      <c r="F44">
        <v>1002</v>
      </c>
      <c r="G44">
        <f>2+51+686</f>
        <v>739</v>
      </c>
      <c r="H44">
        <v>0</v>
      </c>
      <c r="I44">
        <v>0</v>
      </c>
      <c r="J44">
        <v>0</v>
      </c>
      <c r="K44">
        <v>20</v>
      </c>
      <c r="L44">
        <v>1002</v>
      </c>
      <c r="M44">
        <v>1000</v>
      </c>
      <c r="N44" s="2">
        <v>46087</v>
      </c>
      <c r="O44" s="2">
        <v>46178</v>
      </c>
      <c r="P44" s="2">
        <v>46087</v>
      </c>
      <c r="Q44" t="s">
        <v>27</v>
      </c>
      <c r="R44" s="3">
        <v>3</v>
      </c>
      <c r="S44" s="3">
        <v>32.880000000000003</v>
      </c>
      <c r="T44" t="s">
        <v>40</v>
      </c>
      <c r="U44" t="s">
        <v>33</v>
      </c>
    </row>
    <row r="45" spans="1:21" x14ac:dyDescent="0.3">
      <c r="A45" t="s">
        <v>110</v>
      </c>
      <c r="B45" t="s">
        <v>30</v>
      </c>
      <c r="C45" t="s">
        <v>45</v>
      </c>
      <c r="D45">
        <v>4</v>
      </c>
      <c r="E45">
        <v>4</v>
      </c>
      <c r="F45">
        <v>1003</v>
      </c>
      <c r="G45">
        <f>1+1+50+502</f>
        <v>554</v>
      </c>
      <c r="H45">
        <v>0</v>
      </c>
      <c r="I45">
        <v>0</v>
      </c>
      <c r="J45">
        <v>0</v>
      </c>
      <c r="K45">
        <v>19</v>
      </c>
      <c r="L45">
        <v>1003</v>
      </c>
      <c r="M45">
        <v>1000</v>
      </c>
      <c r="N45" s="2">
        <v>46087</v>
      </c>
      <c r="O45" s="2">
        <v>46272</v>
      </c>
      <c r="P45" s="2">
        <v>46087</v>
      </c>
      <c r="Q45" t="s">
        <v>27</v>
      </c>
      <c r="R45" s="3">
        <v>6</v>
      </c>
      <c r="S45" s="3">
        <v>31.23</v>
      </c>
      <c r="T45" t="s">
        <v>40</v>
      </c>
      <c r="U45" t="s">
        <v>33</v>
      </c>
    </row>
    <row r="46" spans="1:21" x14ac:dyDescent="0.3">
      <c r="A46" t="s">
        <v>111</v>
      </c>
      <c r="B46" t="s">
        <v>112</v>
      </c>
      <c r="C46" t="s">
        <v>45</v>
      </c>
      <c r="D46">
        <v>8</v>
      </c>
      <c r="E46">
        <v>3</v>
      </c>
      <c r="F46">
        <v>8000</v>
      </c>
      <c r="G46">
        <f>5+2+1</f>
        <v>8</v>
      </c>
      <c r="H46">
        <v>8950</v>
      </c>
      <c r="I46">
        <v>5</v>
      </c>
      <c r="J46">
        <f>1+101+20+6+12</f>
        <v>140</v>
      </c>
      <c r="K46">
        <v>18</v>
      </c>
      <c r="L46">
        <v>8460</v>
      </c>
      <c r="M46">
        <v>8950</v>
      </c>
      <c r="N46" s="2">
        <v>46086</v>
      </c>
      <c r="O46" s="2">
        <v>46176</v>
      </c>
      <c r="P46" s="2">
        <v>46087</v>
      </c>
      <c r="Q46" t="s">
        <v>27</v>
      </c>
      <c r="R46" s="3">
        <v>3</v>
      </c>
      <c r="T46" t="s">
        <v>40</v>
      </c>
      <c r="U46" t="s">
        <v>113</v>
      </c>
    </row>
    <row r="47" spans="1:21" x14ac:dyDescent="0.3">
      <c r="A47" t="s">
        <v>114</v>
      </c>
      <c r="B47" t="s">
        <v>30</v>
      </c>
      <c r="C47" t="s">
        <v>94</v>
      </c>
      <c r="D47">
        <v>5</v>
      </c>
      <c r="E47">
        <v>4</v>
      </c>
      <c r="F47">
        <v>110</v>
      </c>
      <c r="G47">
        <f>30+109+1+300</f>
        <v>440</v>
      </c>
      <c r="H47">
        <v>130</v>
      </c>
      <c r="I47">
        <v>1</v>
      </c>
      <c r="J47">
        <v>2</v>
      </c>
      <c r="K47" t="s">
        <v>95</v>
      </c>
      <c r="L47">
        <v>132</v>
      </c>
      <c r="M47">
        <v>134</v>
      </c>
      <c r="N47" s="2">
        <v>46085</v>
      </c>
      <c r="O47" s="2">
        <v>46465</v>
      </c>
      <c r="P47" s="2">
        <v>46086</v>
      </c>
      <c r="Q47" t="s">
        <v>96</v>
      </c>
      <c r="R47" s="3">
        <v>12</v>
      </c>
      <c r="U47" t="s">
        <v>33</v>
      </c>
    </row>
    <row r="48" spans="1:21" x14ac:dyDescent="0.3">
      <c r="A48" t="s">
        <v>115</v>
      </c>
      <c r="B48" t="s">
        <v>30</v>
      </c>
      <c r="C48" t="s">
        <v>45</v>
      </c>
      <c r="D48">
        <v>4</v>
      </c>
      <c r="E48">
        <v>4</v>
      </c>
      <c r="F48">
        <v>1004</v>
      </c>
      <c r="G48">
        <f>9+116+100+3</f>
        <v>228</v>
      </c>
      <c r="H48">
        <v>0</v>
      </c>
      <c r="I48">
        <v>0</v>
      </c>
      <c r="J48">
        <v>0</v>
      </c>
      <c r="K48">
        <v>20</v>
      </c>
      <c r="L48">
        <v>1004</v>
      </c>
      <c r="M48">
        <v>1000</v>
      </c>
      <c r="N48" s="2">
        <v>46081</v>
      </c>
      <c r="O48" s="2">
        <v>46169</v>
      </c>
      <c r="P48" s="2">
        <v>46083</v>
      </c>
      <c r="Q48" t="s">
        <v>27</v>
      </c>
      <c r="R48" s="3">
        <v>3</v>
      </c>
      <c r="S48" s="3">
        <v>36.159999999999997</v>
      </c>
      <c r="T48" t="s">
        <v>40</v>
      </c>
      <c r="U48" t="s">
        <v>33</v>
      </c>
    </row>
    <row r="49" spans="1:21" x14ac:dyDescent="0.3">
      <c r="A49" t="s">
        <v>116</v>
      </c>
      <c r="B49" t="s">
        <v>30</v>
      </c>
      <c r="C49" t="s">
        <v>94</v>
      </c>
      <c r="D49">
        <v>2</v>
      </c>
      <c r="E49">
        <v>2</v>
      </c>
      <c r="F49">
        <v>109</v>
      </c>
      <c r="G49">
        <f>107+22</f>
        <v>129</v>
      </c>
      <c r="H49">
        <v>0</v>
      </c>
      <c r="I49">
        <v>0</v>
      </c>
      <c r="J49">
        <v>0</v>
      </c>
      <c r="K49" t="s">
        <v>95</v>
      </c>
      <c r="L49">
        <v>120.5</v>
      </c>
      <c r="M49">
        <v>132</v>
      </c>
      <c r="N49" s="2">
        <v>46080</v>
      </c>
      <c r="O49" s="2">
        <v>46462</v>
      </c>
      <c r="P49" s="2">
        <v>46083</v>
      </c>
      <c r="Q49" t="s">
        <v>27</v>
      </c>
      <c r="R49" s="3">
        <v>12</v>
      </c>
      <c r="U49" t="s">
        <v>33</v>
      </c>
    </row>
    <row r="50" spans="1:21" x14ac:dyDescent="0.3">
      <c r="A50" t="s">
        <v>117</v>
      </c>
      <c r="B50" t="s">
        <v>30</v>
      </c>
      <c r="C50" t="s">
        <v>45</v>
      </c>
      <c r="D50">
        <v>2</v>
      </c>
      <c r="E50">
        <v>2</v>
      </c>
      <c r="F50">
        <v>1002</v>
      </c>
      <c r="G50">
        <f>10+11</f>
        <v>21</v>
      </c>
      <c r="H50">
        <v>0</v>
      </c>
      <c r="I50">
        <v>0</v>
      </c>
      <c r="J50">
        <v>0</v>
      </c>
      <c r="K50">
        <v>15.3</v>
      </c>
      <c r="L50">
        <v>1002</v>
      </c>
      <c r="M50">
        <v>1000</v>
      </c>
      <c r="N50" s="2">
        <v>46081</v>
      </c>
      <c r="O50" s="2">
        <v>46169</v>
      </c>
      <c r="P50" s="2">
        <v>46083</v>
      </c>
      <c r="Q50" t="s">
        <v>27</v>
      </c>
      <c r="R50" s="3">
        <v>3</v>
      </c>
      <c r="S50" s="3">
        <v>27.67</v>
      </c>
      <c r="T50" t="s">
        <v>40</v>
      </c>
      <c r="U50" t="s">
        <v>33</v>
      </c>
    </row>
    <row r="51" spans="1:21" x14ac:dyDescent="0.3">
      <c r="A51" t="s">
        <v>118</v>
      </c>
      <c r="B51" t="s">
        <v>119</v>
      </c>
      <c r="C51" t="s">
        <v>45</v>
      </c>
      <c r="D51">
        <v>16</v>
      </c>
      <c r="E51">
        <v>9</v>
      </c>
      <c r="F51">
        <v>999</v>
      </c>
      <c r="G51">
        <f>84+100+10+251+20+1+2+1000+32</f>
        <v>1500</v>
      </c>
      <c r="H51">
        <v>1003</v>
      </c>
      <c r="I51">
        <v>7</v>
      </c>
      <c r="J51">
        <f>882+704+2+4+2+3+1</f>
        <v>1598</v>
      </c>
      <c r="K51">
        <v>15.25</v>
      </c>
      <c r="L51">
        <v>1001</v>
      </c>
      <c r="M51">
        <v>1000</v>
      </c>
      <c r="N51" s="2">
        <v>46079</v>
      </c>
      <c r="O51" s="2">
        <v>46171</v>
      </c>
      <c r="P51" s="2">
        <v>46080</v>
      </c>
      <c r="Q51" t="s">
        <v>27</v>
      </c>
      <c r="R51" s="3">
        <v>3</v>
      </c>
      <c r="S51" s="3">
        <v>2.92</v>
      </c>
      <c r="T51" t="s">
        <v>39</v>
      </c>
      <c r="U51" t="s">
        <v>120</v>
      </c>
    </row>
    <row r="52" spans="1:21" x14ac:dyDescent="0.3">
      <c r="A52" t="s">
        <v>121</v>
      </c>
      <c r="B52" t="s">
        <v>30</v>
      </c>
      <c r="C52" t="s">
        <v>94</v>
      </c>
      <c r="D52">
        <v>6</v>
      </c>
      <c r="E52">
        <v>6</v>
      </c>
      <c r="F52">
        <v>127</v>
      </c>
      <c r="G52">
        <f>10+1+26+18+104+5</f>
        <v>164</v>
      </c>
      <c r="H52">
        <v>0</v>
      </c>
      <c r="I52">
        <v>0</v>
      </c>
      <c r="J52">
        <v>0</v>
      </c>
      <c r="K52" t="s">
        <v>95</v>
      </c>
      <c r="L52">
        <v>129.5</v>
      </c>
      <c r="M52">
        <v>127</v>
      </c>
      <c r="N52" s="2">
        <v>46077</v>
      </c>
      <c r="O52" s="2">
        <v>46457</v>
      </c>
      <c r="P52" s="2">
        <v>46078</v>
      </c>
      <c r="Q52" t="s">
        <v>96</v>
      </c>
      <c r="R52" s="3">
        <v>12</v>
      </c>
      <c r="U52" t="s">
        <v>33</v>
      </c>
    </row>
    <row r="53" spans="1:21" x14ac:dyDescent="0.3">
      <c r="A53" t="s">
        <v>122</v>
      </c>
      <c r="B53" t="s">
        <v>123</v>
      </c>
      <c r="C53" t="s">
        <v>45</v>
      </c>
      <c r="D53">
        <v>12</v>
      </c>
      <c r="E53">
        <v>7</v>
      </c>
      <c r="F53">
        <v>1001</v>
      </c>
      <c r="G53">
        <f>50+143+7+14+32+70+1</f>
        <v>317</v>
      </c>
      <c r="H53">
        <v>1013</v>
      </c>
      <c r="I53">
        <f>D53-E53</f>
        <v>5</v>
      </c>
      <c r="J53">
        <f>58+43+50+3+1</f>
        <v>155</v>
      </c>
      <c r="K53">
        <v>21</v>
      </c>
      <c r="L53">
        <v>1007</v>
      </c>
      <c r="M53">
        <v>1000</v>
      </c>
      <c r="N53" s="2">
        <v>46073</v>
      </c>
      <c r="O53" s="2">
        <v>46162</v>
      </c>
      <c r="P53" s="2">
        <v>46077</v>
      </c>
      <c r="Q53" t="s">
        <v>27</v>
      </c>
      <c r="R53" s="3">
        <v>3</v>
      </c>
      <c r="S53" s="3">
        <v>8.0500000000000007</v>
      </c>
      <c r="T53" t="s">
        <v>39</v>
      </c>
      <c r="U53" t="s">
        <v>59</v>
      </c>
    </row>
    <row r="54" spans="1:21" x14ac:dyDescent="0.3">
      <c r="A54" t="s">
        <v>124</v>
      </c>
      <c r="B54" t="s">
        <v>30</v>
      </c>
      <c r="C54" t="s">
        <v>94</v>
      </c>
      <c r="D54">
        <v>5</v>
      </c>
      <c r="E54">
        <v>4</v>
      </c>
      <c r="F54">
        <v>126</v>
      </c>
      <c r="G54">
        <f>8+24+105+101</f>
        <v>238</v>
      </c>
      <c r="H54">
        <v>129</v>
      </c>
      <c r="I54">
        <v>1</v>
      </c>
      <c r="J54">
        <v>1</v>
      </c>
      <c r="K54" t="s">
        <v>95</v>
      </c>
      <c r="L54">
        <v>127.5</v>
      </c>
      <c r="M54">
        <v>126</v>
      </c>
      <c r="N54" s="2">
        <v>46069</v>
      </c>
      <c r="O54" s="2">
        <v>46449</v>
      </c>
      <c r="P54" s="2">
        <v>46070</v>
      </c>
      <c r="Q54" t="s">
        <v>96</v>
      </c>
      <c r="R54" s="3">
        <v>12</v>
      </c>
      <c r="U54" t="s">
        <v>33</v>
      </c>
    </row>
    <row r="55" spans="1:21" x14ac:dyDescent="0.3">
      <c r="A55" t="s">
        <v>141</v>
      </c>
      <c r="B55" t="s">
        <v>112</v>
      </c>
      <c r="C55" t="s">
        <v>45</v>
      </c>
      <c r="D55">
        <v>8</v>
      </c>
      <c r="E55">
        <v>7</v>
      </c>
      <c r="F55">
        <v>5302</v>
      </c>
      <c r="G55">
        <f>1+10+7+7+4+2+3</f>
        <v>34</v>
      </c>
      <c r="H55">
        <v>5850</v>
      </c>
      <c r="I55">
        <v>1</v>
      </c>
      <c r="J55">
        <v>9</v>
      </c>
      <c r="K55">
        <v>18.5</v>
      </c>
      <c r="L55">
        <v>5576</v>
      </c>
      <c r="M55">
        <v>5850</v>
      </c>
      <c r="N55" s="2">
        <v>46069</v>
      </c>
      <c r="O55" s="2">
        <v>46160</v>
      </c>
      <c r="P55" s="2">
        <v>46070</v>
      </c>
      <c r="Q55" t="s">
        <v>27</v>
      </c>
      <c r="R55" s="3">
        <v>3</v>
      </c>
      <c r="T55" t="s">
        <v>40</v>
      </c>
      <c r="U55" t="s">
        <v>125</v>
      </c>
    </row>
    <row r="56" spans="1:21" x14ac:dyDescent="0.3">
      <c r="A56" t="s">
        <v>126</v>
      </c>
      <c r="B56" t="s">
        <v>127</v>
      </c>
      <c r="C56" t="s">
        <v>45</v>
      </c>
      <c r="D56">
        <v>7</v>
      </c>
      <c r="E56">
        <v>4</v>
      </c>
      <c r="F56">
        <v>999</v>
      </c>
      <c r="G56">
        <f>112+45+32+1</f>
        <v>190</v>
      </c>
      <c r="H56">
        <v>1080</v>
      </c>
      <c r="I56">
        <v>3</v>
      </c>
      <c r="J56">
        <f>1+1+300</f>
        <v>302</v>
      </c>
      <c r="K56">
        <v>19.5</v>
      </c>
      <c r="L56">
        <v>1039.5</v>
      </c>
      <c r="M56">
        <v>1000</v>
      </c>
      <c r="N56" s="2">
        <v>46069</v>
      </c>
      <c r="O56" s="2">
        <v>46434</v>
      </c>
      <c r="P56" s="2">
        <v>46070</v>
      </c>
      <c r="Q56" t="s">
        <v>27</v>
      </c>
      <c r="R56" s="3">
        <v>12</v>
      </c>
      <c r="S56" s="3">
        <v>9.6199999999999992</v>
      </c>
      <c r="T56" t="s">
        <v>39</v>
      </c>
      <c r="U56" t="s">
        <v>59</v>
      </c>
    </row>
    <row r="57" spans="1:21" x14ac:dyDescent="0.3">
      <c r="A57" t="s">
        <v>128</v>
      </c>
      <c r="B57" t="s">
        <v>30</v>
      </c>
      <c r="C57" t="s">
        <v>45</v>
      </c>
      <c r="D57">
        <v>1</v>
      </c>
      <c r="E57">
        <v>1</v>
      </c>
      <c r="F57">
        <v>1007</v>
      </c>
      <c r="G57">
        <v>11</v>
      </c>
      <c r="H57">
        <v>0</v>
      </c>
      <c r="I57">
        <v>0</v>
      </c>
      <c r="J57">
        <v>0</v>
      </c>
      <c r="K57">
        <v>15.76</v>
      </c>
      <c r="L57">
        <v>1007</v>
      </c>
      <c r="M57">
        <v>1000</v>
      </c>
      <c r="N57" s="2">
        <v>46067</v>
      </c>
      <c r="O57" s="2">
        <v>46155</v>
      </c>
      <c r="P57" s="2">
        <v>46069</v>
      </c>
      <c r="Q57" t="s">
        <v>27</v>
      </c>
      <c r="R57" s="3">
        <v>3</v>
      </c>
      <c r="S57" s="3">
        <v>34.54</v>
      </c>
      <c r="T57" t="s">
        <v>40</v>
      </c>
      <c r="U57" t="s">
        <v>33</v>
      </c>
    </row>
    <row r="58" spans="1:21" x14ac:dyDescent="0.3">
      <c r="A58" t="s">
        <v>129</v>
      </c>
      <c r="B58" t="s">
        <v>30</v>
      </c>
      <c r="C58" t="s">
        <v>45</v>
      </c>
      <c r="D58">
        <v>6</v>
      </c>
      <c r="E58">
        <v>3</v>
      </c>
      <c r="F58">
        <v>1014</v>
      </c>
      <c r="G58">
        <f>35+200+302</f>
        <v>537</v>
      </c>
      <c r="H58">
        <v>1036</v>
      </c>
      <c r="I58">
        <v>3</v>
      </c>
      <c r="J58">
        <f>45+50+31</f>
        <v>126</v>
      </c>
      <c r="K58">
        <v>15.58</v>
      </c>
      <c r="L58">
        <v>1025</v>
      </c>
      <c r="M58">
        <v>1000</v>
      </c>
      <c r="N58" s="2">
        <v>46067</v>
      </c>
      <c r="O58" s="2">
        <v>46155</v>
      </c>
      <c r="P58" s="2">
        <v>46069</v>
      </c>
      <c r="Q58" t="s">
        <v>27</v>
      </c>
      <c r="R58" s="3">
        <v>3</v>
      </c>
      <c r="S58" s="3">
        <v>34.15</v>
      </c>
      <c r="T58" t="s">
        <v>40</v>
      </c>
      <c r="U58" t="s">
        <v>33</v>
      </c>
    </row>
    <row r="59" spans="1:21" x14ac:dyDescent="0.3">
      <c r="A59" t="s">
        <v>130</v>
      </c>
      <c r="B59" t="s">
        <v>57</v>
      </c>
      <c r="C59" t="s">
        <v>45</v>
      </c>
      <c r="D59">
        <v>12</v>
      </c>
      <c r="E59">
        <v>5</v>
      </c>
      <c r="F59">
        <v>1002</v>
      </c>
      <c r="G59">
        <f>100+180+46+45+32</f>
        <v>403</v>
      </c>
      <c r="H59">
        <v>1093</v>
      </c>
      <c r="I59">
        <f>D59-E59</f>
        <v>7</v>
      </c>
      <c r="J59">
        <f>10+1+2+3+7+10+20</f>
        <v>53</v>
      </c>
      <c r="K59">
        <v>21.5</v>
      </c>
      <c r="L59">
        <v>1047</v>
      </c>
      <c r="M59">
        <v>1000</v>
      </c>
      <c r="N59" s="2">
        <v>46065</v>
      </c>
      <c r="O59" s="2">
        <v>46338</v>
      </c>
      <c r="P59" s="2">
        <v>46066</v>
      </c>
      <c r="Q59" t="s">
        <v>27</v>
      </c>
      <c r="R59" s="3">
        <v>9</v>
      </c>
      <c r="S59" s="3">
        <v>12.37</v>
      </c>
      <c r="T59" t="s">
        <v>39</v>
      </c>
      <c r="U59" t="s">
        <v>58</v>
      </c>
    </row>
    <row r="60" spans="1:21" x14ac:dyDescent="0.3">
      <c r="A60" t="s">
        <v>131</v>
      </c>
      <c r="B60" t="s">
        <v>30</v>
      </c>
      <c r="C60" t="s">
        <v>45</v>
      </c>
      <c r="D60">
        <v>5</v>
      </c>
      <c r="E60">
        <v>4</v>
      </c>
      <c r="F60">
        <v>1016</v>
      </c>
      <c r="G60">
        <f>50+1+1+302</f>
        <v>354</v>
      </c>
      <c r="H60">
        <v>1037</v>
      </c>
      <c r="I60">
        <v>1</v>
      </c>
      <c r="J60">
        <v>111</v>
      </c>
      <c r="K60">
        <v>15.58</v>
      </c>
      <c r="L60">
        <v>1026.5</v>
      </c>
      <c r="M60">
        <v>1000</v>
      </c>
      <c r="N60" s="2">
        <v>46065</v>
      </c>
      <c r="O60" s="2">
        <v>46154</v>
      </c>
      <c r="P60" s="2">
        <v>46065</v>
      </c>
      <c r="Q60" t="s">
        <v>27</v>
      </c>
      <c r="R60" s="3">
        <v>3</v>
      </c>
      <c r="S60" s="3">
        <v>35</v>
      </c>
      <c r="T60" t="s">
        <v>40</v>
      </c>
      <c r="U60" t="s">
        <v>33</v>
      </c>
    </row>
    <row r="61" spans="1:21" x14ac:dyDescent="0.3">
      <c r="A61" t="s">
        <v>132</v>
      </c>
      <c r="B61" t="s">
        <v>30</v>
      </c>
      <c r="C61" t="s">
        <v>45</v>
      </c>
      <c r="D61">
        <v>3</v>
      </c>
      <c r="E61">
        <v>3</v>
      </c>
      <c r="F61">
        <v>1001</v>
      </c>
      <c r="G61">
        <v>22</v>
      </c>
      <c r="H61">
        <v>0</v>
      </c>
      <c r="I61">
        <v>0</v>
      </c>
      <c r="J61">
        <v>0</v>
      </c>
      <c r="K61">
        <v>15.76</v>
      </c>
      <c r="L61">
        <v>1001</v>
      </c>
      <c r="M61">
        <v>1000</v>
      </c>
      <c r="N61" s="2">
        <v>46065</v>
      </c>
      <c r="O61" s="2">
        <v>46154</v>
      </c>
      <c r="P61" s="2">
        <v>46065</v>
      </c>
      <c r="Q61" t="s">
        <v>27</v>
      </c>
      <c r="R61" s="3">
        <v>3</v>
      </c>
      <c r="S61" s="3">
        <v>35.409999999999997</v>
      </c>
      <c r="T61" t="s">
        <v>40</v>
      </c>
      <c r="U61" t="s">
        <v>33</v>
      </c>
    </row>
    <row r="62" spans="1:21" x14ac:dyDescent="0.3">
      <c r="A62" t="s">
        <v>133</v>
      </c>
      <c r="B62" t="s">
        <v>30</v>
      </c>
      <c r="C62" t="s">
        <v>45</v>
      </c>
      <c r="D62">
        <v>3</v>
      </c>
      <c r="E62">
        <v>3</v>
      </c>
      <c r="F62">
        <v>1005</v>
      </c>
      <c r="G62">
        <f>50+1000+10</f>
        <v>1060</v>
      </c>
      <c r="H62">
        <v>0</v>
      </c>
      <c r="I62">
        <v>0</v>
      </c>
      <c r="J62">
        <v>0</v>
      </c>
      <c r="K62">
        <v>15.35</v>
      </c>
      <c r="L62">
        <v>1005</v>
      </c>
      <c r="M62">
        <v>1000</v>
      </c>
      <c r="N62" s="2">
        <v>46065</v>
      </c>
      <c r="O62" s="2">
        <v>46154</v>
      </c>
      <c r="P62" s="2">
        <v>46065</v>
      </c>
      <c r="Q62" t="s">
        <v>27</v>
      </c>
      <c r="R62" s="3">
        <v>3</v>
      </c>
      <c r="S62" s="3">
        <v>8.83</v>
      </c>
      <c r="T62" t="s">
        <v>39</v>
      </c>
      <c r="U62" t="s">
        <v>33</v>
      </c>
    </row>
    <row r="63" spans="1:21" x14ac:dyDescent="0.3">
      <c r="A63" t="s">
        <v>134</v>
      </c>
      <c r="B63" t="s">
        <v>30</v>
      </c>
      <c r="C63" t="s">
        <v>45</v>
      </c>
      <c r="D63">
        <v>7</v>
      </c>
      <c r="E63">
        <v>4</v>
      </c>
      <c r="F63">
        <v>1015</v>
      </c>
      <c r="G63">
        <f>50+302+1000+10</f>
        <v>1362</v>
      </c>
      <c r="H63">
        <v>1037</v>
      </c>
      <c r="I63">
        <v>3</v>
      </c>
      <c r="J63">
        <f>15+1+106</f>
        <v>122</v>
      </c>
      <c r="K63">
        <v>15.4</v>
      </c>
      <c r="L63">
        <v>1026</v>
      </c>
      <c r="M63">
        <v>1000</v>
      </c>
      <c r="N63" s="2">
        <v>46063</v>
      </c>
      <c r="O63" s="2">
        <v>46154</v>
      </c>
      <c r="P63" s="2">
        <v>46063</v>
      </c>
      <c r="Q63" t="s">
        <v>27</v>
      </c>
      <c r="R63" s="3">
        <v>3</v>
      </c>
      <c r="S63" s="3">
        <v>35.44</v>
      </c>
      <c r="T63" t="s">
        <v>40</v>
      </c>
      <c r="U63" t="s">
        <v>33</v>
      </c>
    </row>
    <row r="64" spans="1:21" x14ac:dyDescent="0.3">
      <c r="A64" t="s">
        <v>135</v>
      </c>
      <c r="B64" t="s">
        <v>30</v>
      </c>
      <c r="C64" t="s">
        <v>45</v>
      </c>
      <c r="D64">
        <v>3</v>
      </c>
      <c r="E64">
        <v>3</v>
      </c>
      <c r="F64">
        <v>1001</v>
      </c>
      <c r="G64">
        <f>50+1+10</f>
        <v>61</v>
      </c>
      <c r="H64">
        <v>0</v>
      </c>
      <c r="I64">
        <v>0</v>
      </c>
      <c r="J64">
        <v>0</v>
      </c>
      <c r="K64">
        <v>15.7</v>
      </c>
      <c r="L64">
        <v>1001</v>
      </c>
      <c r="M64">
        <v>1000</v>
      </c>
      <c r="N64" s="2">
        <v>46063</v>
      </c>
      <c r="O64" s="2">
        <v>46154</v>
      </c>
      <c r="P64" s="2">
        <v>46063</v>
      </c>
      <c r="Q64" t="s">
        <v>27</v>
      </c>
      <c r="R64" s="3">
        <v>3</v>
      </c>
      <c r="S64" s="3">
        <v>36.130000000000003</v>
      </c>
      <c r="T64" t="s">
        <v>40</v>
      </c>
      <c r="U64" t="s">
        <v>33</v>
      </c>
    </row>
    <row r="65" spans="1:21" x14ac:dyDescent="0.3">
      <c r="A65" t="s">
        <v>136</v>
      </c>
      <c r="B65" t="s">
        <v>30</v>
      </c>
      <c r="C65" t="s">
        <v>94</v>
      </c>
      <c r="D65">
        <v>5</v>
      </c>
      <c r="E65">
        <v>2</v>
      </c>
      <c r="F65">
        <v>123</v>
      </c>
      <c r="G65">
        <f>98+3</f>
        <v>101</v>
      </c>
      <c r="H65">
        <v>127</v>
      </c>
      <c r="I65">
        <v>3</v>
      </c>
      <c r="J65">
        <f>1+2+5</f>
        <v>8</v>
      </c>
      <c r="K65" t="s">
        <v>95</v>
      </c>
      <c r="L65">
        <v>125</v>
      </c>
      <c r="M65">
        <v>123</v>
      </c>
      <c r="N65" s="2">
        <v>46062</v>
      </c>
      <c r="O65" s="2">
        <v>46442</v>
      </c>
      <c r="P65" s="2">
        <v>46063</v>
      </c>
      <c r="Q65" t="s">
        <v>96</v>
      </c>
      <c r="R65" s="3">
        <v>12</v>
      </c>
      <c r="U65" t="s">
        <v>33</v>
      </c>
    </row>
    <row r="66" spans="1:21" x14ac:dyDescent="0.3">
      <c r="A66" t="s">
        <v>137</v>
      </c>
      <c r="B66" t="s">
        <v>30</v>
      </c>
      <c r="C66" t="s">
        <v>45</v>
      </c>
      <c r="D66">
        <v>4</v>
      </c>
      <c r="E66">
        <v>4</v>
      </c>
      <c r="F66">
        <v>1000</v>
      </c>
      <c r="G66">
        <f>2+2+4+10</f>
        <v>18</v>
      </c>
      <c r="H66">
        <v>0</v>
      </c>
      <c r="I66">
        <v>0</v>
      </c>
      <c r="J66">
        <v>0</v>
      </c>
      <c r="K66">
        <v>15.7</v>
      </c>
      <c r="L66">
        <v>1000</v>
      </c>
      <c r="M66">
        <v>1000</v>
      </c>
      <c r="N66" s="2">
        <v>46060</v>
      </c>
      <c r="O66" s="2">
        <v>46148</v>
      </c>
      <c r="P66" s="2">
        <v>46062</v>
      </c>
      <c r="Q66" t="s">
        <v>27</v>
      </c>
      <c r="R66" s="3">
        <v>3</v>
      </c>
      <c r="S66" s="3">
        <v>37.42</v>
      </c>
      <c r="T66" t="s">
        <v>40</v>
      </c>
      <c r="U66" t="s">
        <v>33</v>
      </c>
    </row>
    <row r="67" spans="1:21" x14ac:dyDescent="0.3">
      <c r="A67" t="s">
        <v>138</v>
      </c>
      <c r="B67" t="s">
        <v>30</v>
      </c>
      <c r="C67" t="s">
        <v>45</v>
      </c>
      <c r="D67">
        <v>7</v>
      </c>
      <c r="E67">
        <v>4</v>
      </c>
      <c r="F67">
        <v>1015</v>
      </c>
      <c r="G67">
        <f>49+50+2+10</f>
        <v>111</v>
      </c>
      <c r="H67">
        <v>1040</v>
      </c>
      <c r="I67">
        <v>3</v>
      </c>
      <c r="J67">
        <f>10+9+7</f>
        <v>26</v>
      </c>
      <c r="K67">
        <v>15.4</v>
      </c>
      <c r="L67">
        <v>1027.5</v>
      </c>
      <c r="M67">
        <v>1000</v>
      </c>
      <c r="N67" s="2">
        <v>46060</v>
      </c>
      <c r="O67" s="2">
        <v>46148</v>
      </c>
      <c r="P67" s="2">
        <v>46062</v>
      </c>
      <c r="Q67" t="s">
        <v>27</v>
      </c>
      <c r="R67" s="3">
        <v>3</v>
      </c>
      <c r="S67" s="3">
        <v>36.71</v>
      </c>
      <c r="T67" t="s">
        <v>40</v>
      </c>
      <c r="U67" t="s">
        <v>33</v>
      </c>
    </row>
    <row r="68" spans="1:21" x14ac:dyDescent="0.3">
      <c r="A68" t="s">
        <v>139</v>
      </c>
      <c r="B68" t="s">
        <v>30</v>
      </c>
      <c r="C68" t="s">
        <v>94</v>
      </c>
      <c r="D68">
        <v>7</v>
      </c>
      <c r="E68">
        <v>6</v>
      </c>
      <c r="F68">
        <v>116</v>
      </c>
      <c r="G68">
        <f>5+25+105+100+99+100</f>
        <v>434</v>
      </c>
      <c r="H68">
        <v>123</v>
      </c>
      <c r="I68">
        <v>1</v>
      </c>
      <c r="J68">
        <v>66</v>
      </c>
      <c r="K68" t="s">
        <v>95</v>
      </c>
      <c r="L68">
        <v>119.5</v>
      </c>
      <c r="M68">
        <v>123</v>
      </c>
      <c r="N68" s="2">
        <v>46059</v>
      </c>
      <c r="O68" s="2">
        <v>46438</v>
      </c>
      <c r="P68" s="2">
        <v>46062</v>
      </c>
      <c r="Q68" t="s">
        <v>96</v>
      </c>
      <c r="R68" s="3">
        <v>12</v>
      </c>
      <c r="U68" t="s">
        <v>33</v>
      </c>
    </row>
    <row r="69" spans="1:21" x14ac:dyDescent="0.3">
      <c r="A69" t="s">
        <v>140</v>
      </c>
      <c r="B69" t="s">
        <v>112</v>
      </c>
      <c r="C69" t="s">
        <v>45</v>
      </c>
      <c r="D69">
        <v>6</v>
      </c>
      <c r="E69">
        <v>5</v>
      </c>
      <c r="F69">
        <v>5812</v>
      </c>
      <c r="G69">
        <f>1+10+7+7+5</f>
        <v>30</v>
      </c>
      <c r="H69">
        <v>6400</v>
      </c>
      <c r="I69">
        <v>1</v>
      </c>
      <c r="J69">
        <v>1</v>
      </c>
      <c r="K69">
        <v>18.5</v>
      </c>
      <c r="L69">
        <v>6106</v>
      </c>
      <c r="M69">
        <v>6100</v>
      </c>
      <c r="N69" s="2">
        <v>46058</v>
      </c>
      <c r="O69" s="2">
        <v>46148</v>
      </c>
      <c r="P69" s="2">
        <v>46059</v>
      </c>
      <c r="Q69" t="s">
        <v>27</v>
      </c>
      <c r="R69" s="3">
        <v>3</v>
      </c>
      <c r="T69" t="s">
        <v>40</v>
      </c>
      <c r="U69" t="s">
        <v>125</v>
      </c>
    </row>
    <row r="70" spans="1:21" x14ac:dyDescent="0.3">
      <c r="A70" t="s">
        <v>142</v>
      </c>
      <c r="B70" t="s">
        <v>30</v>
      </c>
      <c r="C70" t="s">
        <v>45</v>
      </c>
      <c r="D70">
        <v>2</v>
      </c>
      <c r="E70">
        <v>2</v>
      </c>
      <c r="F70">
        <v>1001</v>
      </c>
      <c r="G70">
        <v>21</v>
      </c>
      <c r="H70">
        <v>0</v>
      </c>
      <c r="I70">
        <v>0</v>
      </c>
      <c r="J70">
        <v>0</v>
      </c>
      <c r="K70">
        <v>15.68</v>
      </c>
      <c r="L70">
        <v>1001</v>
      </c>
      <c r="M70">
        <v>1000</v>
      </c>
      <c r="N70" s="2">
        <v>46058</v>
      </c>
      <c r="O70" s="2">
        <v>46149</v>
      </c>
      <c r="P70" s="2">
        <v>46058</v>
      </c>
      <c r="Q70" t="s">
        <v>27</v>
      </c>
      <c r="R70" s="3">
        <v>3</v>
      </c>
      <c r="S70" s="3">
        <v>38.229999999999997</v>
      </c>
      <c r="T70" t="s">
        <v>40</v>
      </c>
      <c r="U70" t="s">
        <v>33</v>
      </c>
    </row>
    <row r="71" spans="1:21" x14ac:dyDescent="0.3">
      <c r="A71" t="s">
        <v>143</v>
      </c>
      <c r="B71" t="s">
        <v>30</v>
      </c>
      <c r="C71" t="s">
        <v>45</v>
      </c>
      <c r="D71">
        <v>2</v>
      </c>
      <c r="E71">
        <v>2</v>
      </c>
      <c r="F71">
        <v>1006</v>
      </c>
      <c r="G71">
        <v>21</v>
      </c>
      <c r="H71">
        <v>0</v>
      </c>
      <c r="I71">
        <v>0</v>
      </c>
      <c r="J71">
        <v>0</v>
      </c>
      <c r="K71">
        <v>15.7</v>
      </c>
      <c r="L71">
        <v>1006</v>
      </c>
      <c r="M71">
        <v>1000</v>
      </c>
      <c r="N71" s="2">
        <v>46057</v>
      </c>
      <c r="O71" s="2">
        <v>46147</v>
      </c>
      <c r="P71" s="2">
        <v>46057</v>
      </c>
      <c r="Q71" t="s">
        <v>27</v>
      </c>
      <c r="R71" s="3">
        <v>3</v>
      </c>
      <c r="S71" s="3">
        <v>38.71</v>
      </c>
      <c r="T71" t="s">
        <v>40</v>
      </c>
      <c r="U71" t="s">
        <v>33</v>
      </c>
    </row>
    <row r="72" spans="1:21" x14ac:dyDescent="0.3">
      <c r="A72" t="s">
        <v>144</v>
      </c>
      <c r="B72" t="s">
        <v>30</v>
      </c>
      <c r="C72" t="s">
        <v>94</v>
      </c>
      <c r="D72">
        <v>7</v>
      </c>
      <c r="E72">
        <v>7</v>
      </c>
      <c r="F72">
        <v>117</v>
      </c>
      <c r="G72">
        <f>3+16+19+105+100+391+36</f>
        <v>670</v>
      </c>
      <c r="H72">
        <v>0</v>
      </c>
      <c r="I72">
        <v>0</v>
      </c>
      <c r="J72">
        <v>0</v>
      </c>
      <c r="K72" t="s">
        <v>95</v>
      </c>
      <c r="L72">
        <v>125.5</v>
      </c>
      <c r="M72">
        <v>117</v>
      </c>
      <c r="N72" s="2">
        <v>46056</v>
      </c>
      <c r="O72" s="2">
        <v>46435</v>
      </c>
      <c r="P72" s="2">
        <v>46057</v>
      </c>
      <c r="Q72" t="s">
        <v>96</v>
      </c>
      <c r="R72" s="3">
        <v>12</v>
      </c>
      <c r="U72" t="s">
        <v>33</v>
      </c>
    </row>
    <row r="73" spans="1:21" x14ac:dyDescent="0.3">
      <c r="A73" t="s">
        <v>145</v>
      </c>
      <c r="B73" t="s">
        <v>30</v>
      </c>
      <c r="C73" t="s">
        <v>45</v>
      </c>
      <c r="D73">
        <v>2</v>
      </c>
      <c r="E73">
        <v>2</v>
      </c>
      <c r="F73">
        <v>1003</v>
      </c>
      <c r="G73">
        <f>51+50</f>
        <v>101</v>
      </c>
      <c r="H73">
        <v>0</v>
      </c>
      <c r="I73">
        <v>0</v>
      </c>
      <c r="J73">
        <v>0</v>
      </c>
      <c r="K73">
        <v>15.2</v>
      </c>
      <c r="L73">
        <v>1003</v>
      </c>
      <c r="M73">
        <v>1000</v>
      </c>
      <c r="N73" s="2">
        <v>46056</v>
      </c>
      <c r="O73" s="2">
        <v>46147</v>
      </c>
      <c r="P73" s="2">
        <v>46056</v>
      </c>
      <c r="Q73" t="s">
        <v>27</v>
      </c>
      <c r="R73" s="3">
        <v>3</v>
      </c>
      <c r="S73" s="3">
        <v>37.9</v>
      </c>
      <c r="T73" t="s">
        <v>40</v>
      </c>
      <c r="U73" t="s">
        <v>33</v>
      </c>
    </row>
    <row r="74" spans="1:21" x14ac:dyDescent="0.3">
      <c r="A74" t="s">
        <v>146</v>
      </c>
      <c r="B74" t="s">
        <v>30</v>
      </c>
      <c r="C74" t="s">
        <v>45</v>
      </c>
      <c r="D74">
        <v>3</v>
      </c>
      <c r="E74">
        <v>3</v>
      </c>
      <c r="F74">
        <v>1001</v>
      </c>
      <c r="G74">
        <f>11+7+10</f>
        <v>28</v>
      </c>
      <c r="H74">
        <v>0</v>
      </c>
      <c r="I74">
        <v>0</v>
      </c>
      <c r="J74">
        <v>0</v>
      </c>
      <c r="K74">
        <v>15.68</v>
      </c>
      <c r="L74">
        <v>1001</v>
      </c>
      <c r="M74">
        <v>1000</v>
      </c>
      <c r="N74" s="2">
        <v>46056</v>
      </c>
      <c r="O74" s="2">
        <v>46058</v>
      </c>
      <c r="P74" s="2">
        <v>46056</v>
      </c>
      <c r="Q74" t="s">
        <v>27</v>
      </c>
      <c r="R74" s="3">
        <v>3</v>
      </c>
      <c r="S74" s="3">
        <v>39.090000000000003</v>
      </c>
      <c r="T74" t="s">
        <v>40</v>
      </c>
      <c r="U74" t="s">
        <v>33</v>
      </c>
    </row>
    <row r="75" spans="1:21" x14ac:dyDescent="0.3">
      <c r="A75" t="s">
        <v>147</v>
      </c>
      <c r="B75" t="s">
        <v>30</v>
      </c>
      <c r="C75" t="s">
        <v>94</v>
      </c>
      <c r="D75">
        <v>5</v>
      </c>
      <c r="E75">
        <v>4</v>
      </c>
      <c r="F75">
        <v>117</v>
      </c>
      <c r="G75">
        <f>3+22+105+110</f>
        <v>240</v>
      </c>
      <c r="H75">
        <v>125</v>
      </c>
      <c r="I75">
        <v>1</v>
      </c>
      <c r="J75">
        <v>11</v>
      </c>
      <c r="K75" t="s">
        <v>95</v>
      </c>
      <c r="L75">
        <v>121</v>
      </c>
      <c r="M75">
        <v>125</v>
      </c>
      <c r="N75" s="2">
        <v>46055</v>
      </c>
      <c r="O75" s="2">
        <v>46434</v>
      </c>
      <c r="P75" s="2">
        <v>46056</v>
      </c>
      <c r="Q75" t="s">
        <v>96</v>
      </c>
      <c r="R75" s="3">
        <v>12</v>
      </c>
      <c r="U75" t="s">
        <v>33</v>
      </c>
    </row>
    <row r="76" spans="1:21" x14ac:dyDescent="0.3">
      <c r="A76" t="s">
        <v>148</v>
      </c>
      <c r="B76" t="s">
        <v>30</v>
      </c>
      <c r="C76" t="s">
        <v>94</v>
      </c>
      <c r="D76">
        <v>3</v>
      </c>
      <c r="E76">
        <v>3</v>
      </c>
      <c r="F76">
        <v>108</v>
      </c>
      <c r="G76">
        <f>22+115+1</f>
        <v>138</v>
      </c>
      <c r="H76">
        <v>0</v>
      </c>
      <c r="I76">
        <v>0</v>
      </c>
      <c r="J76">
        <v>0</v>
      </c>
      <c r="K76" t="s">
        <v>95</v>
      </c>
      <c r="L76">
        <v>131</v>
      </c>
      <c r="M76">
        <v>131</v>
      </c>
      <c r="N76" s="2">
        <v>46051</v>
      </c>
      <c r="O76" s="2">
        <v>46430</v>
      </c>
      <c r="P76" s="2">
        <v>46052</v>
      </c>
      <c r="Q76" t="s">
        <v>96</v>
      </c>
      <c r="R76" s="3">
        <v>12</v>
      </c>
      <c r="U76" t="s">
        <v>33</v>
      </c>
    </row>
    <row r="77" spans="1:21" x14ac:dyDescent="0.3">
      <c r="A77" t="s">
        <v>149</v>
      </c>
      <c r="B77" t="s">
        <v>30</v>
      </c>
      <c r="C77" t="s">
        <v>94</v>
      </c>
      <c r="D77">
        <v>5</v>
      </c>
      <c r="E77">
        <v>4</v>
      </c>
      <c r="F77">
        <v>111</v>
      </c>
      <c r="G77">
        <f>12+15+15+105</f>
        <v>147</v>
      </c>
      <c r="H77">
        <v>129</v>
      </c>
      <c r="I77">
        <v>1</v>
      </c>
      <c r="J77">
        <v>102</v>
      </c>
      <c r="K77" t="s">
        <v>95</v>
      </c>
      <c r="L77">
        <v>120</v>
      </c>
      <c r="M77">
        <v>127</v>
      </c>
      <c r="N77" s="2">
        <v>46050</v>
      </c>
      <c r="O77" s="2">
        <v>46429</v>
      </c>
      <c r="P77" s="2">
        <v>46051</v>
      </c>
      <c r="Q77" t="s">
        <v>96</v>
      </c>
      <c r="R77" s="3">
        <v>12</v>
      </c>
      <c r="U77" t="s">
        <v>33</v>
      </c>
    </row>
    <row r="78" spans="1:21" x14ac:dyDescent="0.3">
      <c r="A78" t="s">
        <v>150</v>
      </c>
      <c r="B78" t="s">
        <v>30</v>
      </c>
      <c r="C78" t="s">
        <v>45</v>
      </c>
      <c r="D78">
        <v>6</v>
      </c>
      <c r="E78">
        <v>6</v>
      </c>
      <c r="F78">
        <v>1010</v>
      </c>
      <c r="G78">
        <f>100+50+50+302+555+10</f>
        <v>1067</v>
      </c>
      <c r="H78">
        <v>0</v>
      </c>
      <c r="I78">
        <v>0</v>
      </c>
      <c r="J78">
        <v>0</v>
      </c>
      <c r="K78">
        <v>15.18</v>
      </c>
      <c r="L78">
        <v>1010</v>
      </c>
      <c r="M78">
        <v>1000</v>
      </c>
      <c r="N78" s="2">
        <v>46051</v>
      </c>
      <c r="O78" s="2">
        <v>46232</v>
      </c>
      <c r="P78" s="2">
        <v>46051</v>
      </c>
      <c r="Q78" t="s">
        <v>27</v>
      </c>
      <c r="R78" s="3">
        <v>6</v>
      </c>
      <c r="S78" s="3">
        <v>39.83</v>
      </c>
      <c r="T78" t="s">
        <v>40</v>
      </c>
      <c r="U78" t="s">
        <v>33</v>
      </c>
    </row>
    <row r="79" spans="1:21" x14ac:dyDescent="0.3">
      <c r="A79" t="s">
        <v>151</v>
      </c>
      <c r="B79" t="s">
        <v>30</v>
      </c>
      <c r="C79" t="s">
        <v>94</v>
      </c>
      <c r="D79">
        <v>4</v>
      </c>
      <c r="E79">
        <v>4</v>
      </c>
      <c r="F79">
        <v>122</v>
      </c>
      <c r="G79">
        <f>12+1+200+42</f>
        <v>255</v>
      </c>
      <c r="H79">
        <v>0</v>
      </c>
      <c r="I79">
        <v>0</v>
      </c>
      <c r="J79">
        <v>0</v>
      </c>
      <c r="K79" t="s">
        <v>95</v>
      </c>
      <c r="L79">
        <v>126.5</v>
      </c>
      <c r="M79">
        <v>122</v>
      </c>
      <c r="N79" s="2">
        <v>46048</v>
      </c>
      <c r="O79" s="2">
        <v>46427</v>
      </c>
      <c r="P79" s="2">
        <v>46049</v>
      </c>
      <c r="Q79" t="s">
        <v>96</v>
      </c>
      <c r="R79" s="3">
        <v>12</v>
      </c>
      <c r="U79" t="s">
        <v>33</v>
      </c>
    </row>
    <row r="80" spans="1:21" x14ac:dyDescent="0.3">
      <c r="A80" t="s">
        <v>152</v>
      </c>
      <c r="B80" t="s">
        <v>30</v>
      </c>
      <c r="C80" t="s">
        <v>94</v>
      </c>
      <c r="D80">
        <v>7</v>
      </c>
      <c r="E80">
        <v>5</v>
      </c>
      <c r="F80">
        <v>120</v>
      </c>
      <c r="G80">
        <f>5+20+20+100+200</f>
        <v>345</v>
      </c>
      <c r="H80">
        <v>129</v>
      </c>
      <c r="I80">
        <v>2</v>
      </c>
      <c r="J80">
        <f>3+17</f>
        <v>20</v>
      </c>
      <c r="K80" t="s">
        <v>95</v>
      </c>
      <c r="L80">
        <v>124.5</v>
      </c>
      <c r="M80">
        <v>120</v>
      </c>
      <c r="N80" s="2">
        <v>46043</v>
      </c>
      <c r="O80" s="2">
        <v>46057</v>
      </c>
      <c r="P80" s="2">
        <v>46044</v>
      </c>
      <c r="Q80" t="s">
        <v>96</v>
      </c>
      <c r="R80" s="3">
        <v>12</v>
      </c>
      <c r="U80" t="s">
        <v>33</v>
      </c>
    </row>
    <row r="81" spans="1:21" x14ac:dyDescent="0.3">
      <c r="A81" t="s">
        <v>153</v>
      </c>
      <c r="B81" t="s">
        <v>30</v>
      </c>
      <c r="C81" t="s">
        <v>94</v>
      </c>
      <c r="D81">
        <v>15</v>
      </c>
      <c r="E81">
        <v>6</v>
      </c>
      <c r="F81">
        <v>117</v>
      </c>
      <c r="G81">
        <f>1+24+21+200+36+1</f>
        <v>283</v>
      </c>
      <c r="H81">
        <v>122</v>
      </c>
      <c r="I81">
        <f>D81-E81</f>
        <v>9</v>
      </c>
      <c r="J81">
        <f>10*8+15</f>
        <v>95</v>
      </c>
      <c r="K81" t="s">
        <v>95</v>
      </c>
      <c r="L81">
        <v>119.5</v>
      </c>
      <c r="M81">
        <v>117</v>
      </c>
      <c r="N81" s="2">
        <v>46041</v>
      </c>
      <c r="O81" s="2">
        <v>46420</v>
      </c>
      <c r="P81" s="2">
        <v>46042</v>
      </c>
      <c r="Q81" t="s">
        <v>96</v>
      </c>
      <c r="R81" s="3">
        <v>12</v>
      </c>
      <c r="U81" t="s">
        <v>33</v>
      </c>
    </row>
    <row r="82" spans="1:21" x14ac:dyDescent="0.3">
      <c r="A82" t="s">
        <v>154</v>
      </c>
      <c r="B82" t="s">
        <v>30</v>
      </c>
      <c r="C82" t="s">
        <v>94</v>
      </c>
      <c r="D82">
        <v>7</v>
      </c>
      <c r="E82">
        <v>6</v>
      </c>
      <c r="F82">
        <v>118</v>
      </c>
      <c r="G82">
        <f>1+1+18+25+100+200</f>
        <v>345</v>
      </c>
      <c r="H82">
        <v>130</v>
      </c>
      <c r="I82">
        <v>1</v>
      </c>
      <c r="J82">
        <v>2</v>
      </c>
      <c r="K82" t="s">
        <v>95</v>
      </c>
      <c r="L82">
        <v>124</v>
      </c>
      <c r="M82">
        <v>118</v>
      </c>
      <c r="N82" s="2">
        <v>46038</v>
      </c>
      <c r="O82" s="2">
        <v>46419</v>
      </c>
      <c r="P82" s="2">
        <v>46041</v>
      </c>
      <c r="Q82" t="s">
        <v>96</v>
      </c>
      <c r="R82" s="3">
        <v>12</v>
      </c>
      <c r="U82" t="s">
        <v>33</v>
      </c>
    </row>
    <row r="83" spans="1:21" x14ac:dyDescent="0.3">
      <c r="A83" t="s">
        <v>155</v>
      </c>
      <c r="B83" t="s">
        <v>30</v>
      </c>
      <c r="C83" t="s">
        <v>94</v>
      </c>
      <c r="D83">
        <v>6</v>
      </c>
      <c r="E83">
        <v>6</v>
      </c>
      <c r="F83">
        <v>118</v>
      </c>
      <c r="G83">
        <f>2+10+25+100+200+150</f>
        <v>487</v>
      </c>
      <c r="H83">
        <v>0</v>
      </c>
      <c r="I83">
        <v>0</v>
      </c>
      <c r="J83">
        <v>0</v>
      </c>
      <c r="K83" t="s">
        <v>95</v>
      </c>
      <c r="L83">
        <v>128.5</v>
      </c>
      <c r="M83">
        <v>118</v>
      </c>
      <c r="N83" s="2">
        <v>46037</v>
      </c>
      <c r="O83" s="2">
        <v>46416</v>
      </c>
      <c r="P83" s="2">
        <v>46038</v>
      </c>
      <c r="Q83" t="s">
        <v>96</v>
      </c>
      <c r="R83" s="3">
        <v>12</v>
      </c>
      <c r="U83" t="s">
        <v>33</v>
      </c>
    </row>
    <row r="84" spans="1:21" x14ac:dyDescent="0.3">
      <c r="A84" t="s">
        <v>156</v>
      </c>
      <c r="B84" t="s">
        <v>157</v>
      </c>
      <c r="C84" t="s">
        <v>45</v>
      </c>
      <c r="D84">
        <v>12</v>
      </c>
      <c r="E84">
        <v>7</v>
      </c>
      <c r="F84">
        <v>1000</v>
      </c>
      <c r="G84">
        <f>38+20+505+78+32+500+555</f>
        <v>1728</v>
      </c>
      <c r="H84">
        <v>1034</v>
      </c>
      <c r="I84">
        <f>D84-E84</f>
        <v>5</v>
      </c>
      <c r="J84">
        <f>5+15+12+20+1</f>
        <v>53</v>
      </c>
      <c r="K84">
        <v>18.75</v>
      </c>
      <c r="L84">
        <v>1017</v>
      </c>
      <c r="M84">
        <v>1000</v>
      </c>
      <c r="N84" s="2">
        <v>46020</v>
      </c>
      <c r="O84" s="2">
        <v>46385</v>
      </c>
      <c r="P84" s="2">
        <v>46021</v>
      </c>
      <c r="Q84" t="s">
        <v>27</v>
      </c>
      <c r="R84" s="3">
        <v>12</v>
      </c>
      <c r="S84" s="3">
        <v>3.08</v>
      </c>
      <c r="T84" t="s">
        <v>39</v>
      </c>
      <c r="U84" t="s">
        <v>158</v>
      </c>
    </row>
    <row r="85" spans="1:21" x14ac:dyDescent="0.3">
      <c r="A85" t="s">
        <v>159</v>
      </c>
      <c r="B85" t="s">
        <v>47</v>
      </c>
      <c r="C85" t="s">
        <v>45</v>
      </c>
      <c r="D85">
        <v>7</v>
      </c>
      <c r="E85">
        <v>7</v>
      </c>
      <c r="F85">
        <v>1008</v>
      </c>
      <c r="G85">
        <f>1+1+1+500+100+532+13</f>
        <v>1148</v>
      </c>
      <c r="H85">
        <v>0</v>
      </c>
      <c r="I85">
        <v>0</v>
      </c>
      <c r="J85">
        <v>0</v>
      </c>
      <c r="K85">
        <v>18.5</v>
      </c>
      <c r="L85">
        <v>1008</v>
      </c>
      <c r="M85">
        <v>1000</v>
      </c>
      <c r="N85" s="2">
        <v>46021</v>
      </c>
      <c r="O85" s="2">
        <v>46020</v>
      </c>
      <c r="P85" s="2">
        <v>46021</v>
      </c>
      <c r="Q85" t="s">
        <v>27</v>
      </c>
      <c r="R85" s="3">
        <v>12</v>
      </c>
      <c r="S85" s="3">
        <v>3.04</v>
      </c>
      <c r="T85" t="s">
        <v>39</v>
      </c>
      <c r="U85" t="s">
        <v>49</v>
      </c>
    </row>
    <row r="86" spans="1:21" x14ac:dyDescent="0.3">
      <c r="A86" t="s">
        <v>160</v>
      </c>
      <c r="B86" t="s">
        <v>161</v>
      </c>
      <c r="C86" t="s">
        <v>45</v>
      </c>
      <c r="D86">
        <v>15</v>
      </c>
      <c r="E86">
        <v>13</v>
      </c>
      <c r="F86">
        <v>1000</v>
      </c>
      <c r="G86">
        <f>1+1+10+50+100+11+1+48+111+29+13+1+136</f>
        <v>512</v>
      </c>
      <c r="H86">
        <v>1010</v>
      </c>
      <c r="I86">
        <v>2</v>
      </c>
      <c r="J86">
        <f>289+10</f>
        <v>299</v>
      </c>
      <c r="K86">
        <v>21.5</v>
      </c>
      <c r="L86">
        <v>1005</v>
      </c>
      <c r="M86">
        <v>1000</v>
      </c>
      <c r="N86" s="2">
        <v>46015</v>
      </c>
      <c r="O86" s="2">
        <v>46197</v>
      </c>
      <c r="P86" s="2">
        <v>46016</v>
      </c>
      <c r="Q86" t="s">
        <v>27</v>
      </c>
      <c r="R86" s="3">
        <v>6</v>
      </c>
      <c r="S86" s="3">
        <v>6.48</v>
      </c>
      <c r="T86" t="s">
        <v>39</v>
      </c>
      <c r="U86" t="s">
        <v>162</v>
      </c>
    </row>
    <row r="87" spans="1:21" x14ac:dyDescent="0.3">
      <c r="A87" t="s">
        <v>163</v>
      </c>
      <c r="B87" t="s">
        <v>164</v>
      </c>
      <c r="C87" t="s">
        <v>45</v>
      </c>
      <c r="D87">
        <v>6</v>
      </c>
      <c r="E87">
        <v>5</v>
      </c>
      <c r="F87">
        <v>757</v>
      </c>
      <c r="G87">
        <f>2+2+2+447+42</f>
        <v>495</v>
      </c>
      <c r="H87">
        <v>900</v>
      </c>
      <c r="I87">
        <v>1</v>
      </c>
      <c r="J87">
        <v>964</v>
      </c>
      <c r="K87">
        <v>21</v>
      </c>
      <c r="L87">
        <v>828.5</v>
      </c>
      <c r="M87">
        <v>750</v>
      </c>
      <c r="N87" s="2">
        <v>46014</v>
      </c>
      <c r="O87" s="2">
        <v>46379</v>
      </c>
      <c r="P87" s="2">
        <v>46015</v>
      </c>
      <c r="Q87" t="s">
        <v>27</v>
      </c>
      <c r="R87" s="3">
        <v>12</v>
      </c>
      <c r="S87" s="3">
        <v>5.18</v>
      </c>
      <c r="T87" t="s">
        <v>39</v>
      </c>
      <c r="U87" t="s">
        <v>59</v>
      </c>
    </row>
    <row r="88" spans="1:21" x14ac:dyDescent="0.3">
      <c r="A88" t="s">
        <v>165</v>
      </c>
      <c r="B88" t="s">
        <v>30</v>
      </c>
      <c r="C88" t="s">
        <v>45</v>
      </c>
      <c r="D88">
        <v>13</v>
      </c>
      <c r="E88">
        <v>7</v>
      </c>
      <c r="F88">
        <v>970</v>
      </c>
      <c r="G88">
        <f>20+10+10+1000+555+5</f>
        <v>1600</v>
      </c>
      <c r="H88">
        <v>1005</v>
      </c>
      <c r="I88">
        <f>D88-E88</f>
        <v>6</v>
      </c>
      <c r="J88">
        <f>5+1+3+7+5+13+1</f>
        <v>35</v>
      </c>
      <c r="K88">
        <v>14</v>
      </c>
      <c r="L88">
        <v>987.5</v>
      </c>
      <c r="M88">
        <v>1000</v>
      </c>
      <c r="N88" s="2">
        <v>46011</v>
      </c>
      <c r="O88" s="2">
        <v>47107</v>
      </c>
      <c r="P88" s="2">
        <v>46013</v>
      </c>
      <c r="Q88" t="s">
        <v>27</v>
      </c>
      <c r="R88" s="3">
        <v>36</v>
      </c>
      <c r="S88" s="3">
        <v>52.55</v>
      </c>
      <c r="T88" t="s">
        <v>40</v>
      </c>
      <c r="U88" t="s">
        <v>33</v>
      </c>
    </row>
    <row r="89" spans="1:21" x14ac:dyDescent="0.3">
      <c r="A89" t="s">
        <v>166</v>
      </c>
      <c r="B89" t="s">
        <v>112</v>
      </c>
      <c r="C89" t="s">
        <v>45</v>
      </c>
      <c r="D89">
        <v>12</v>
      </c>
      <c r="E89">
        <v>0</v>
      </c>
      <c r="F89">
        <v>0</v>
      </c>
      <c r="G89">
        <v>0</v>
      </c>
      <c r="H89">
        <v>850</v>
      </c>
      <c r="I89">
        <v>12</v>
      </c>
      <c r="J89">
        <f>9+29+90+18+176+250+1+13+3987+49+20+3</f>
        <v>4645</v>
      </c>
      <c r="K89">
        <v>20.5</v>
      </c>
      <c r="L89">
        <v>850</v>
      </c>
      <c r="M89">
        <v>1000</v>
      </c>
      <c r="N89" s="2">
        <v>46007</v>
      </c>
      <c r="O89" s="2">
        <v>46372</v>
      </c>
      <c r="P89" s="2">
        <v>46008</v>
      </c>
      <c r="Q89" t="s">
        <v>27</v>
      </c>
      <c r="R89" s="3">
        <v>12</v>
      </c>
      <c r="S89" s="3">
        <v>10.67</v>
      </c>
      <c r="T89" t="s">
        <v>39</v>
      </c>
      <c r="U89" t="s">
        <v>125</v>
      </c>
    </row>
    <row r="90" spans="1:21" x14ac:dyDescent="0.3">
      <c r="A90" t="s">
        <v>167</v>
      </c>
      <c r="B90" t="s">
        <v>47</v>
      </c>
      <c r="C90" t="s">
        <v>45</v>
      </c>
      <c r="D90">
        <v>16</v>
      </c>
      <c r="E90">
        <v>11</v>
      </c>
      <c r="F90">
        <v>1016</v>
      </c>
      <c r="G90">
        <f>4+10+28+6+5+100+1+100+50+500+200</f>
        <v>1004</v>
      </c>
      <c r="H90">
        <v>1100</v>
      </c>
      <c r="I90">
        <v>5</v>
      </c>
      <c r="J90">
        <f>5</f>
        <v>5</v>
      </c>
      <c r="K90">
        <v>18.5</v>
      </c>
      <c r="L90">
        <v>1058</v>
      </c>
      <c r="M90">
        <v>1000</v>
      </c>
      <c r="N90" s="2">
        <v>46006</v>
      </c>
      <c r="O90" s="2">
        <v>46371</v>
      </c>
      <c r="P90" s="2">
        <v>46007</v>
      </c>
      <c r="Q90" t="s">
        <v>27</v>
      </c>
      <c r="R90" s="3">
        <v>12</v>
      </c>
      <c r="S90" s="3">
        <v>10.14</v>
      </c>
      <c r="T90" t="s">
        <v>39</v>
      </c>
      <c r="U90" t="s">
        <v>49</v>
      </c>
    </row>
    <row r="91" spans="1:21" x14ac:dyDescent="0.3">
      <c r="A91" t="s">
        <v>168</v>
      </c>
      <c r="B91" t="s">
        <v>170</v>
      </c>
      <c r="C91" t="s">
        <v>45</v>
      </c>
      <c r="D91">
        <v>7</v>
      </c>
      <c r="E91">
        <v>7</v>
      </c>
      <c r="F91">
        <v>1070</v>
      </c>
      <c r="G91">
        <f>500+100+50+50+116+200+10</f>
        <v>1026</v>
      </c>
      <c r="H91">
        <v>0</v>
      </c>
      <c r="I91">
        <v>0</v>
      </c>
      <c r="J91">
        <v>0</v>
      </c>
      <c r="K91">
        <v>19.5</v>
      </c>
      <c r="L91">
        <v>1070</v>
      </c>
      <c r="M91">
        <v>1000</v>
      </c>
      <c r="N91" s="2">
        <v>46003</v>
      </c>
      <c r="O91" s="2">
        <v>46367</v>
      </c>
      <c r="P91" s="2">
        <v>46006</v>
      </c>
      <c r="Q91" t="s">
        <v>27</v>
      </c>
      <c r="R91" s="3">
        <v>12</v>
      </c>
      <c r="S91" s="3">
        <v>76.930000000000007</v>
      </c>
      <c r="T91" t="s">
        <v>40</v>
      </c>
      <c r="U91" t="s">
        <v>169</v>
      </c>
    </row>
    <row r="92" spans="1:21" x14ac:dyDescent="0.3">
      <c r="A92" t="s">
        <v>171</v>
      </c>
      <c r="B92" t="s">
        <v>172</v>
      </c>
      <c r="C92" t="s">
        <v>45</v>
      </c>
      <c r="D92">
        <v>27</v>
      </c>
      <c r="E92">
        <v>15</v>
      </c>
      <c r="F92">
        <v>1015</v>
      </c>
      <c r="G92">
        <f>10+56+31+31+144+100+100+303+372+6+306+675+50+100+209</f>
        <v>2493</v>
      </c>
      <c r="H92">
        <v>1092</v>
      </c>
      <c r="I92">
        <v>12</v>
      </c>
      <c r="J92">
        <f>114+100+10+7+5+3+1+10+10+10+10</f>
        <v>280</v>
      </c>
      <c r="K92">
        <v>21</v>
      </c>
      <c r="L92">
        <v>1053.5</v>
      </c>
      <c r="M92">
        <v>1000</v>
      </c>
      <c r="N92" s="2">
        <v>46003</v>
      </c>
      <c r="O92" s="2">
        <v>46367</v>
      </c>
      <c r="P92" s="2">
        <v>46006</v>
      </c>
      <c r="Q92" t="s">
        <v>27</v>
      </c>
      <c r="R92" s="3">
        <v>12</v>
      </c>
      <c r="S92" s="3">
        <v>12.66</v>
      </c>
      <c r="T92" t="s">
        <v>39</v>
      </c>
      <c r="U92" t="s">
        <v>59</v>
      </c>
    </row>
    <row r="93" spans="1:21" x14ac:dyDescent="0.3">
      <c r="A93" t="s">
        <v>173</v>
      </c>
      <c r="B93" t="s">
        <v>112</v>
      </c>
      <c r="C93" t="s">
        <v>45</v>
      </c>
      <c r="D93">
        <v>18</v>
      </c>
      <c r="E93">
        <v>1</v>
      </c>
      <c r="F93">
        <v>800</v>
      </c>
      <c r="G93">
        <v>462</v>
      </c>
      <c r="H93">
        <v>875</v>
      </c>
      <c r="I93">
        <v>17</v>
      </c>
      <c r="J93">
        <f>441+100+11+1+39+300+2452+1420+1+580+2205+4212+5081+6+10+6+1</f>
        <v>16866</v>
      </c>
      <c r="K93">
        <v>20.5</v>
      </c>
      <c r="L93">
        <v>837.5</v>
      </c>
      <c r="M93">
        <v>1000</v>
      </c>
      <c r="N93" s="2">
        <v>45999</v>
      </c>
      <c r="O93" s="2">
        <v>45999</v>
      </c>
      <c r="P93" s="2">
        <v>46000</v>
      </c>
      <c r="Q93" t="s">
        <v>27</v>
      </c>
      <c r="R93" s="3">
        <v>12</v>
      </c>
      <c r="S93" s="3">
        <v>15.16</v>
      </c>
      <c r="T93" t="s">
        <v>39</v>
      </c>
      <c r="U93" t="s">
        <v>125</v>
      </c>
    </row>
    <row r="94" spans="1:21" x14ac:dyDescent="0.3">
      <c r="A94" t="s">
        <v>174</v>
      </c>
      <c r="B94" t="s">
        <v>175</v>
      </c>
      <c r="C94" t="s">
        <v>45</v>
      </c>
      <c r="D94">
        <v>7</v>
      </c>
      <c r="E94">
        <v>5</v>
      </c>
      <c r="F94">
        <v>1000</v>
      </c>
      <c r="G94">
        <f>2+12+60+40+13</f>
        <v>127</v>
      </c>
      <c r="H94">
        <v>1049</v>
      </c>
      <c r="I94">
        <v>2</v>
      </c>
      <c r="J94">
        <f>54+28</f>
        <v>82</v>
      </c>
      <c r="K94">
        <v>21.25</v>
      </c>
      <c r="L94">
        <v>1024.5</v>
      </c>
      <c r="M94">
        <v>1000</v>
      </c>
      <c r="N94" s="2">
        <v>45989</v>
      </c>
      <c r="O94" s="2">
        <v>46353</v>
      </c>
      <c r="P94" s="2">
        <v>45992</v>
      </c>
      <c r="Q94" t="s">
        <v>27</v>
      </c>
      <c r="R94" s="3">
        <v>12</v>
      </c>
      <c r="S94" s="3">
        <v>4.66</v>
      </c>
      <c r="T94" t="s">
        <v>39</v>
      </c>
      <c r="U94" t="s">
        <v>59</v>
      </c>
    </row>
    <row r="95" spans="1:21" x14ac:dyDescent="0.3">
      <c r="A95" t="s">
        <v>176</v>
      </c>
      <c r="B95" t="s">
        <v>177</v>
      </c>
      <c r="C95" t="s">
        <v>45</v>
      </c>
      <c r="D95">
        <v>9</v>
      </c>
      <c r="E95">
        <v>7</v>
      </c>
      <c r="F95">
        <v>1001</v>
      </c>
      <c r="G95">
        <f>30+91+15+47+3+40+3</f>
        <v>229</v>
      </c>
      <c r="H95">
        <v>1160</v>
      </c>
      <c r="I95">
        <v>2</v>
      </c>
      <c r="J95">
        <v>2</v>
      </c>
      <c r="K95">
        <v>20</v>
      </c>
      <c r="L95">
        <v>1080.5</v>
      </c>
      <c r="M95">
        <v>1000</v>
      </c>
      <c r="N95" s="2">
        <v>45989</v>
      </c>
      <c r="O95" s="2">
        <v>46170</v>
      </c>
      <c r="P95" s="2">
        <v>45992</v>
      </c>
      <c r="Q95" t="s">
        <v>27</v>
      </c>
      <c r="R95" s="3">
        <v>6</v>
      </c>
      <c r="S95" s="3">
        <v>3.84</v>
      </c>
      <c r="T95" t="s">
        <v>39</v>
      </c>
      <c r="U95" t="s">
        <v>59</v>
      </c>
    </row>
    <row r="96" spans="1:21" x14ac:dyDescent="0.3">
      <c r="A96" t="s">
        <v>178</v>
      </c>
      <c r="B96" t="s">
        <v>112</v>
      </c>
      <c r="C96" t="s">
        <v>45</v>
      </c>
      <c r="D96">
        <v>31</v>
      </c>
      <c r="E96">
        <v>0</v>
      </c>
      <c r="F96">
        <v>0</v>
      </c>
      <c r="G96">
        <v>0</v>
      </c>
      <c r="H96">
        <v>800</v>
      </c>
      <c r="I96">
        <v>31</v>
      </c>
      <c r="J96">
        <f>2864+50+100+102+43+1+861+1+1+25+1+7+1900+1+2+11+47+65+10+6344+9524+3+100+398+13+10+10+10+10+550+1</f>
        <v>23065</v>
      </c>
      <c r="K96">
        <v>20.5</v>
      </c>
      <c r="L96">
        <v>800</v>
      </c>
      <c r="M96">
        <v>1000</v>
      </c>
      <c r="N96" s="2">
        <v>45987</v>
      </c>
      <c r="O96" s="2">
        <v>46352</v>
      </c>
      <c r="P96" s="2">
        <v>45988</v>
      </c>
      <c r="Q96" t="s">
        <v>27</v>
      </c>
      <c r="R96" s="3">
        <v>12</v>
      </c>
      <c r="S96" s="3">
        <v>4.49</v>
      </c>
      <c r="T96" t="s">
        <v>39</v>
      </c>
      <c r="U96" t="s">
        <v>125</v>
      </c>
    </row>
    <row r="97" spans="1:21" x14ac:dyDescent="0.3">
      <c r="A97" t="s">
        <v>179</v>
      </c>
      <c r="B97" t="s">
        <v>89</v>
      </c>
      <c r="C97" t="s">
        <v>45</v>
      </c>
      <c r="D97">
        <v>21</v>
      </c>
      <c r="E97">
        <v>10</v>
      </c>
      <c r="F97">
        <v>1010</v>
      </c>
      <c r="G97">
        <f>58+200+154+5+300+45+20+88+500+46</f>
        <v>1416</v>
      </c>
      <c r="H97">
        <v>1032</v>
      </c>
      <c r="I97">
        <v>11</v>
      </c>
      <c r="J97">
        <f>1+250+2+100+10+5+3+3+1+3+101</f>
        <v>479</v>
      </c>
      <c r="K97">
        <v>20</v>
      </c>
      <c r="L97">
        <v>1021</v>
      </c>
      <c r="M97">
        <v>1000</v>
      </c>
      <c r="N97" s="2">
        <v>45980</v>
      </c>
      <c r="O97" s="2">
        <v>46253</v>
      </c>
      <c r="P97" s="2">
        <v>45981</v>
      </c>
      <c r="Q97" t="s">
        <v>27</v>
      </c>
      <c r="R97" s="3">
        <v>9</v>
      </c>
      <c r="T97" t="s">
        <v>39</v>
      </c>
      <c r="U97" t="s">
        <v>90</v>
      </c>
    </row>
    <row r="98" spans="1:21" x14ac:dyDescent="0.3">
      <c r="A98" t="s">
        <v>180</v>
      </c>
      <c r="B98" t="s">
        <v>181</v>
      </c>
      <c r="C98" t="s">
        <v>45</v>
      </c>
      <c r="D98">
        <v>15</v>
      </c>
      <c r="E98">
        <v>12</v>
      </c>
      <c r="F98">
        <v>1008</v>
      </c>
      <c r="G98">
        <f>200+30+100+32+50+36+153+5+2+35+2+1</f>
        <v>646</v>
      </c>
      <c r="H98">
        <v>1100</v>
      </c>
      <c r="I98">
        <v>3</v>
      </c>
      <c r="J98">
        <f>1+1+5</f>
        <v>7</v>
      </c>
      <c r="K98">
        <v>20.5</v>
      </c>
      <c r="L98">
        <v>1054</v>
      </c>
      <c r="M98">
        <v>1000</v>
      </c>
      <c r="N98" s="2">
        <v>45975</v>
      </c>
      <c r="O98" s="2">
        <v>46309</v>
      </c>
      <c r="P98" s="2">
        <v>45978</v>
      </c>
      <c r="Q98" t="s">
        <v>27</v>
      </c>
      <c r="R98" s="3">
        <v>11</v>
      </c>
      <c r="T98" t="s">
        <v>39</v>
      </c>
      <c r="U98" t="s">
        <v>59</v>
      </c>
    </row>
    <row r="99" spans="1:21" x14ac:dyDescent="0.3">
      <c r="A99" t="s">
        <v>182</v>
      </c>
      <c r="B99" t="s">
        <v>183</v>
      </c>
      <c r="C99" t="s">
        <v>45</v>
      </c>
      <c r="D99">
        <v>2</v>
      </c>
      <c r="E99">
        <v>1</v>
      </c>
      <c r="F99" s="1">
        <v>450000</v>
      </c>
      <c r="G99">
        <v>1</v>
      </c>
      <c r="H99">
        <v>523562</v>
      </c>
      <c r="I99">
        <v>1</v>
      </c>
      <c r="J99">
        <v>10</v>
      </c>
      <c r="K99">
        <v>10</v>
      </c>
      <c r="L99">
        <v>486781</v>
      </c>
      <c r="M99">
        <v>500000</v>
      </c>
      <c r="N99" s="2">
        <v>45975</v>
      </c>
      <c r="O99" s="2">
        <v>46339</v>
      </c>
      <c r="P99" s="2">
        <v>45979</v>
      </c>
      <c r="Q99" t="s">
        <v>27</v>
      </c>
      <c r="R99" s="3">
        <v>12</v>
      </c>
      <c r="T99" t="s">
        <v>40</v>
      </c>
      <c r="U99" t="s">
        <v>184</v>
      </c>
    </row>
    <row r="100" spans="1:21" x14ac:dyDescent="0.3">
      <c r="A100" t="s">
        <v>185</v>
      </c>
      <c r="B100" t="s">
        <v>51</v>
      </c>
      <c r="C100" t="s">
        <v>45</v>
      </c>
      <c r="D100">
        <v>25</v>
      </c>
      <c r="E100">
        <v>12</v>
      </c>
      <c r="F100">
        <v>1001</v>
      </c>
      <c r="G100">
        <f>34+591+10+3+3+2+5+45+2+500+2+20</f>
        <v>1217</v>
      </c>
      <c r="H100">
        <v>1040</v>
      </c>
      <c r="I100">
        <v>13</v>
      </c>
      <c r="J100">
        <f>10+23+30+20+200+10+10+10+4+10+10+5+3</f>
        <v>345</v>
      </c>
      <c r="K100">
        <v>21</v>
      </c>
      <c r="L100">
        <v>1020.5</v>
      </c>
      <c r="M100">
        <v>1000</v>
      </c>
      <c r="N100" s="2">
        <v>45975</v>
      </c>
      <c r="O100" s="2">
        <v>46339</v>
      </c>
      <c r="P100" s="2">
        <v>45975</v>
      </c>
      <c r="Q100" t="s">
        <v>27</v>
      </c>
      <c r="R100" s="3">
        <v>12</v>
      </c>
      <c r="T100" t="s">
        <v>39</v>
      </c>
      <c r="U100" t="s">
        <v>59</v>
      </c>
    </row>
    <row r="101" spans="1:21" x14ac:dyDescent="0.3">
      <c r="A101" t="s">
        <v>186</v>
      </c>
      <c r="B101" t="s">
        <v>187</v>
      </c>
      <c r="C101" t="s">
        <v>45</v>
      </c>
      <c r="D101">
        <v>21</v>
      </c>
      <c r="E101">
        <v>10</v>
      </c>
      <c r="F101">
        <v>1010</v>
      </c>
      <c r="G101">
        <f>13+1+7+101+45+20+2+19+460+101</f>
        <v>769</v>
      </c>
      <c r="H101">
        <v>1015</v>
      </c>
      <c r="I101">
        <v>11</v>
      </c>
      <c r="J101">
        <f>50+102+1033+10+5+100+10+7+5+3+1</f>
        <v>1326</v>
      </c>
      <c r="K101">
        <v>21</v>
      </c>
      <c r="L101">
        <v>1012.5</v>
      </c>
      <c r="M101">
        <v>1000</v>
      </c>
      <c r="N101" s="2">
        <v>45974</v>
      </c>
      <c r="O101" s="2">
        <v>46247</v>
      </c>
      <c r="P101" s="2">
        <v>45975</v>
      </c>
      <c r="Q101" t="s">
        <v>27</v>
      </c>
      <c r="R101" s="3">
        <v>9</v>
      </c>
      <c r="T101" t="s">
        <v>39</v>
      </c>
      <c r="U101" t="s">
        <v>59</v>
      </c>
    </row>
    <row r="102" spans="1:21" x14ac:dyDescent="0.3">
      <c r="A102" t="s">
        <v>188</v>
      </c>
      <c r="B102" t="s">
        <v>189</v>
      </c>
      <c r="C102" t="s">
        <v>45</v>
      </c>
      <c r="D102">
        <v>16</v>
      </c>
      <c r="E102">
        <v>7</v>
      </c>
      <c r="F102">
        <v>1008</v>
      </c>
      <c r="G102">
        <f>1+2+15+51+300+35+25</f>
        <v>429</v>
      </c>
      <c r="H102">
        <v>1017</v>
      </c>
      <c r="I102">
        <f>D102-E102</f>
        <v>9</v>
      </c>
      <c r="J102">
        <f>89+13+350+10+18+10+10+10+10</f>
        <v>520</v>
      </c>
      <c r="K102">
        <v>20</v>
      </c>
      <c r="L102">
        <v>1012.5</v>
      </c>
      <c r="M102">
        <v>1000</v>
      </c>
      <c r="N102" s="2">
        <v>45971</v>
      </c>
      <c r="O102" s="2">
        <v>45971</v>
      </c>
      <c r="P102" s="2">
        <v>45972</v>
      </c>
      <c r="Q102" t="s">
        <v>27</v>
      </c>
      <c r="R102" s="3">
        <v>12</v>
      </c>
      <c r="T102" t="s">
        <v>39</v>
      </c>
      <c r="U102" t="s">
        <v>190</v>
      </c>
    </row>
    <row r="103" spans="1:21" x14ac:dyDescent="0.3">
      <c r="A103" t="s">
        <v>191</v>
      </c>
      <c r="B103" t="s">
        <v>192</v>
      </c>
      <c r="C103" t="s">
        <v>45</v>
      </c>
      <c r="D103">
        <v>30</v>
      </c>
      <c r="E103">
        <v>11</v>
      </c>
      <c r="F103">
        <v>1000</v>
      </c>
      <c r="G103">
        <f>300+10+6+645+5+47+250+61+17+250+510</f>
        <v>2101</v>
      </c>
      <c r="H103">
        <v>1003</v>
      </c>
      <c r="I103">
        <f>D103-E103</f>
        <v>19</v>
      </c>
      <c r="J103">
        <f>999+749+16+22+9+5+40+2+5+1+2+6+100+10+16+5+3+1+101</f>
        <v>2092</v>
      </c>
      <c r="K103">
        <v>19.5</v>
      </c>
      <c r="L103">
        <v>1001.5</v>
      </c>
      <c r="M103">
        <v>1000</v>
      </c>
      <c r="N103" s="2">
        <v>45958</v>
      </c>
      <c r="O103" s="2">
        <v>45958</v>
      </c>
      <c r="P103" s="2">
        <v>45959</v>
      </c>
      <c r="Q103" t="s">
        <v>27</v>
      </c>
      <c r="R103" s="3">
        <v>12</v>
      </c>
      <c r="T103" t="s">
        <v>39</v>
      </c>
      <c r="U103" t="s">
        <v>59</v>
      </c>
    </row>
    <row r="104" spans="1:21" x14ac:dyDescent="0.3">
      <c r="A104" t="s">
        <v>193</v>
      </c>
      <c r="B104" t="s">
        <v>112</v>
      </c>
      <c r="C104" t="s">
        <v>45</v>
      </c>
      <c r="D104">
        <v>24</v>
      </c>
      <c r="E104">
        <v>0</v>
      </c>
      <c r="F104">
        <v>0</v>
      </c>
      <c r="G104">
        <v>0</v>
      </c>
      <c r="H104">
        <v>800</v>
      </c>
      <c r="I104">
        <v>24</v>
      </c>
      <c r="J104">
        <f>5863+100+50+50+10+1525+45+349+169+11+5+223+830+48+100+105+2000+39+1981+9047+1+100+200+253</f>
        <v>23104</v>
      </c>
      <c r="K104">
        <v>21</v>
      </c>
      <c r="L104">
        <v>800</v>
      </c>
      <c r="M104">
        <v>1000</v>
      </c>
      <c r="N104" s="2">
        <v>45954</v>
      </c>
      <c r="O104" s="2">
        <v>46318</v>
      </c>
      <c r="P104" s="2">
        <v>45957</v>
      </c>
      <c r="Q104" t="s">
        <v>27</v>
      </c>
      <c r="R104" s="3">
        <v>12</v>
      </c>
      <c r="T104" t="s">
        <v>39</v>
      </c>
      <c r="U104" t="s">
        <v>125</v>
      </c>
    </row>
    <row r="105" spans="1:21" x14ac:dyDescent="0.3">
      <c r="A105" t="s">
        <v>194</v>
      </c>
      <c r="B105" t="s">
        <v>175</v>
      </c>
      <c r="C105" t="s">
        <v>45</v>
      </c>
      <c r="D105">
        <v>20</v>
      </c>
      <c r="E105">
        <v>14</v>
      </c>
      <c r="F105">
        <v>999</v>
      </c>
      <c r="G105">
        <f>236+74+70+50+45+98+20+49+150+10+71+1+23+2</f>
        <v>899</v>
      </c>
      <c r="H105">
        <v>1000</v>
      </c>
      <c r="I105">
        <v>6</v>
      </c>
      <c r="J105">
        <f>1+1136+1+1+3+2</f>
        <v>1144</v>
      </c>
      <c r="K105">
        <v>20.5</v>
      </c>
      <c r="L105">
        <v>999.5</v>
      </c>
      <c r="M105">
        <v>1000</v>
      </c>
      <c r="N105" s="2">
        <v>45951</v>
      </c>
      <c r="O105" s="2">
        <v>45951</v>
      </c>
      <c r="P105" s="2">
        <v>45952</v>
      </c>
      <c r="Q105" t="s">
        <v>27</v>
      </c>
      <c r="R105" s="3">
        <v>12</v>
      </c>
      <c r="T105" t="s">
        <v>39</v>
      </c>
      <c r="U105" t="s">
        <v>59</v>
      </c>
    </row>
    <row r="106" spans="1:21" x14ac:dyDescent="0.3">
      <c r="A106" t="s">
        <v>195</v>
      </c>
      <c r="B106" t="s">
        <v>196</v>
      </c>
      <c r="C106" t="s">
        <v>45</v>
      </c>
      <c r="D106">
        <v>22</v>
      </c>
      <c r="E106">
        <v>12</v>
      </c>
      <c r="F106">
        <v>1000</v>
      </c>
      <c r="G106">
        <f>10+36+100+1000+19+5+100+302+5+20+6+50</f>
        <v>1653</v>
      </c>
      <c r="H106">
        <v>1024</v>
      </c>
      <c r="I106">
        <v>10</v>
      </c>
      <c r="J106">
        <f>1302+1+3+100+10+7+5+3+1+100</f>
        <v>1532</v>
      </c>
      <c r="K106">
        <v>19</v>
      </c>
      <c r="L106">
        <v>1012</v>
      </c>
      <c r="M106">
        <v>1000</v>
      </c>
      <c r="N106" s="2">
        <v>45947</v>
      </c>
      <c r="O106" s="2">
        <v>45946</v>
      </c>
      <c r="P106" s="2">
        <v>45950</v>
      </c>
      <c r="Q106" t="s">
        <v>27</v>
      </c>
      <c r="R106" s="3">
        <v>12</v>
      </c>
      <c r="T106" t="s">
        <v>39</v>
      </c>
      <c r="U106" t="s">
        <v>197</v>
      </c>
    </row>
    <row r="107" spans="1:21" x14ac:dyDescent="0.3">
      <c r="A107" t="s">
        <v>198</v>
      </c>
      <c r="B107" t="s">
        <v>199</v>
      </c>
      <c r="C107" t="s">
        <v>45</v>
      </c>
      <c r="D107">
        <v>21</v>
      </c>
      <c r="E107">
        <v>17</v>
      </c>
      <c r="F107">
        <v>1002</v>
      </c>
      <c r="G107">
        <f>37+533+333+100+16+300+308+500+42+5+1+555+1+100+10+10+248</f>
        <v>3099</v>
      </c>
      <c r="H107">
        <v>1026</v>
      </c>
      <c r="I107">
        <v>4</v>
      </c>
      <c r="J107">
        <f>1+41+1+10</f>
        <v>53</v>
      </c>
      <c r="K107">
        <v>17.5</v>
      </c>
      <c r="L107">
        <v>1014</v>
      </c>
      <c r="M107">
        <v>1000</v>
      </c>
      <c r="N107" s="2">
        <v>45943</v>
      </c>
      <c r="O107" s="2">
        <v>46308</v>
      </c>
      <c r="P107" s="2">
        <v>45944</v>
      </c>
      <c r="Q107" t="s">
        <v>27</v>
      </c>
      <c r="R107" s="3">
        <v>12</v>
      </c>
      <c r="T107" t="s">
        <v>39</v>
      </c>
      <c r="U107" t="s">
        <v>200</v>
      </c>
    </row>
    <row r="108" spans="1:21" x14ac:dyDescent="0.3">
      <c r="A108" t="s">
        <v>201</v>
      </c>
      <c r="B108" t="s">
        <v>30</v>
      </c>
      <c r="C108" t="s">
        <v>45</v>
      </c>
      <c r="D108">
        <v>5</v>
      </c>
      <c r="E108">
        <v>5</v>
      </c>
      <c r="F108">
        <v>1003</v>
      </c>
      <c r="G108">
        <f>200+302+555+655+10</f>
        <v>1722</v>
      </c>
      <c r="H108">
        <v>0</v>
      </c>
      <c r="I108">
        <v>0</v>
      </c>
      <c r="J108">
        <v>0</v>
      </c>
      <c r="K108">
        <v>15.7</v>
      </c>
      <c r="L108">
        <v>1003</v>
      </c>
      <c r="M108">
        <v>1000</v>
      </c>
      <c r="N108" s="2">
        <v>45939</v>
      </c>
      <c r="O108" s="2">
        <v>46303</v>
      </c>
      <c r="P108" s="2">
        <v>45939</v>
      </c>
      <c r="Q108" t="s">
        <v>27</v>
      </c>
      <c r="R108" s="3">
        <v>12</v>
      </c>
      <c r="T108" t="s">
        <v>40</v>
      </c>
      <c r="U108" t="s">
        <v>202</v>
      </c>
    </row>
    <row r="109" spans="1:21" x14ac:dyDescent="0.3">
      <c r="A109" t="s">
        <v>203</v>
      </c>
      <c r="B109" t="s">
        <v>112</v>
      </c>
      <c r="C109" t="s">
        <v>45</v>
      </c>
      <c r="D109">
        <v>1</v>
      </c>
      <c r="E109">
        <v>1</v>
      </c>
      <c r="F109">
        <v>800</v>
      </c>
      <c r="G109">
        <v>10</v>
      </c>
      <c r="H109">
        <v>0</v>
      </c>
      <c r="I109">
        <v>0</v>
      </c>
      <c r="J109">
        <v>0</v>
      </c>
      <c r="K109">
        <v>20</v>
      </c>
      <c r="L109">
        <v>800</v>
      </c>
      <c r="M109">
        <v>1000</v>
      </c>
      <c r="N109" s="2">
        <v>45938</v>
      </c>
      <c r="O109" s="2">
        <v>45938</v>
      </c>
      <c r="P109" s="2">
        <v>45939</v>
      </c>
      <c r="Q109" t="s">
        <v>27</v>
      </c>
      <c r="R109" s="3">
        <v>12</v>
      </c>
      <c r="T109" t="s">
        <v>39</v>
      </c>
      <c r="U109" t="s">
        <v>125</v>
      </c>
    </row>
    <row r="110" spans="1:21" x14ac:dyDescent="0.3">
      <c r="A110" t="s">
        <v>204</v>
      </c>
      <c r="B110" t="s">
        <v>30</v>
      </c>
      <c r="C110" t="s">
        <v>45</v>
      </c>
      <c r="D110">
        <v>4</v>
      </c>
      <c r="E110">
        <v>4</v>
      </c>
      <c r="F110">
        <v>1001</v>
      </c>
      <c r="G110">
        <f>11+5+2+10</f>
        <v>28</v>
      </c>
      <c r="H110">
        <v>0</v>
      </c>
      <c r="I110">
        <v>0</v>
      </c>
      <c r="J110">
        <v>0</v>
      </c>
      <c r="K110">
        <v>15.65</v>
      </c>
      <c r="L110">
        <v>1001</v>
      </c>
      <c r="M110">
        <v>1000</v>
      </c>
      <c r="N110" s="2">
        <v>45937</v>
      </c>
      <c r="O110" s="2">
        <v>46301</v>
      </c>
      <c r="P110" s="2">
        <v>45937</v>
      </c>
      <c r="Q110" t="s">
        <v>27</v>
      </c>
      <c r="R110" s="3">
        <v>12</v>
      </c>
      <c r="T110" t="s">
        <v>40</v>
      </c>
      <c r="U110" t="s">
        <v>202</v>
      </c>
    </row>
    <row r="111" spans="1:21" x14ac:dyDescent="0.3">
      <c r="A111" t="s">
        <v>205</v>
      </c>
      <c r="B111" t="s">
        <v>112</v>
      </c>
      <c r="C111" t="s">
        <v>45</v>
      </c>
      <c r="D111">
        <v>20</v>
      </c>
      <c r="E111">
        <v>1</v>
      </c>
      <c r="F111">
        <v>800</v>
      </c>
      <c r="G111">
        <v>250</v>
      </c>
      <c r="H111">
        <v>930</v>
      </c>
      <c r="I111">
        <v>19</v>
      </c>
      <c r="J111">
        <f>10+55+5+89+1124+2+2+4+100+260+1064+334+45798+7+50+3+10+70+340</f>
        <v>49327</v>
      </c>
      <c r="K111">
        <v>21</v>
      </c>
      <c r="L111">
        <v>865</v>
      </c>
      <c r="M111">
        <v>1000</v>
      </c>
      <c r="N111" s="2">
        <v>45932</v>
      </c>
      <c r="O111" s="2">
        <v>46297</v>
      </c>
      <c r="P111" s="2">
        <v>45933</v>
      </c>
      <c r="Q111" t="s">
        <v>27</v>
      </c>
      <c r="R111" s="3">
        <v>12</v>
      </c>
      <c r="T111" t="s">
        <v>39</v>
      </c>
      <c r="U111" t="s">
        <v>125</v>
      </c>
    </row>
    <row r="112" spans="1:21" x14ac:dyDescent="0.3">
      <c r="A112" t="s">
        <v>206</v>
      </c>
      <c r="B112" t="s">
        <v>207</v>
      </c>
      <c r="C112" t="s">
        <v>45</v>
      </c>
      <c r="D112">
        <v>11</v>
      </c>
      <c r="E112">
        <v>6</v>
      </c>
      <c r="F112">
        <v>1000</v>
      </c>
      <c r="G112">
        <f>42+10+13+48+7+50</f>
        <v>170</v>
      </c>
      <c r="H112">
        <v>1009</v>
      </c>
      <c r="I112">
        <v>5</v>
      </c>
      <c r="J112">
        <f>362+2450+10+4+1</f>
        <v>2827</v>
      </c>
      <c r="K112">
        <v>20.25</v>
      </c>
      <c r="L112">
        <v>1004.5</v>
      </c>
      <c r="M112">
        <v>1000</v>
      </c>
      <c r="N112" s="2">
        <v>45926</v>
      </c>
      <c r="O112" s="2">
        <v>45925</v>
      </c>
      <c r="P112" s="2">
        <v>45929</v>
      </c>
      <c r="Q112" t="s">
        <v>27</v>
      </c>
      <c r="R112" s="3">
        <v>12</v>
      </c>
      <c r="T112" t="s">
        <v>39</v>
      </c>
      <c r="U112" t="s">
        <v>59</v>
      </c>
    </row>
    <row r="113" spans="1:21" x14ac:dyDescent="0.3">
      <c r="A113" t="s">
        <v>208</v>
      </c>
      <c r="B113" t="s">
        <v>209</v>
      </c>
      <c r="C113" t="s">
        <v>45</v>
      </c>
      <c r="D113">
        <v>9</v>
      </c>
      <c r="E113">
        <v>8</v>
      </c>
      <c r="F113">
        <v>1024</v>
      </c>
      <c r="G113">
        <f>42+1+300+49+19+20+100+252</f>
        <v>783</v>
      </c>
      <c r="H113">
        <v>1026</v>
      </c>
      <c r="I113">
        <v>1</v>
      </c>
      <c r="J113">
        <v>1</v>
      </c>
      <c r="K113">
        <v>19</v>
      </c>
      <c r="L113">
        <v>1025</v>
      </c>
      <c r="M113">
        <v>1000</v>
      </c>
      <c r="N113" s="2">
        <v>45924</v>
      </c>
      <c r="O113" s="2">
        <v>46289</v>
      </c>
      <c r="P113" s="2">
        <v>45925</v>
      </c>
      <c r="Q113" t="s">
        <v>27</v>
      </c>
      <c r="R113" s="3">
        <v>12</v>
      </c>
      <c r="T113" t="s">
        <v>39</v>
      </c>
      <c r="U113" t="s">
        <v>59</v>
      </c>
    </row>
    <row r="114" spans="1:21" x14ac:dyDescent="0.3">
      <c r="A114" t="s">
        <v>210</v>
      </c>
      <c r="B114" t="s">
        <v>181</v>
      </c>
      <c r="C114" t="s">
        <v>45</v>
      </c>
      <c r="D114">
        <v>21</v>
      </c>
      <c r="E114">
        <v>9</v>
      </c>
      <c r="F114">
        <v>915</v>
      </c>
      <c r="G114">
        <f>24+4+3+4+130+401+20+15+4</f>
        <v>605</v>
      </c>
      <c r="H114">
        <v>946</v>
      </c>
      <c r="I114">
        <v>12</v>
      </c>
      <c r="J114">
        <f>5+10+100+50+10+100+1+100+100+115+100+100</f>
        <v>791</v>
      </c>
      <c r="K114">
        <v>21.25</v>
      </c>
      <c r="L114">
        <v>930.5</v>
      </c>
      <c r="M114">
        <v>900</v>
      </c>
      <c r="N114" s="2">
        <v>45924</v>
      </c>
      <c r="O114" s="2">
        <v>46227</v>
      </c>
      <c r="P114" s="2">
        <v>45925</v>
      </c>
      <c r="Q114" t="s">
        <v>27</v>
      </c>
      <c r="R114" s="3">
        <v>10</v>
      </c>
      <c r="T114" t="s">
        <v>39</v>
      </c>
      <c r="U114" t="s">
        <v>59</v>
      </c>
    </row>
    <row r="115" spans="1:21" x14ac:dyDescent="0.3">
      <c r="A115" t="s">
        <v>211</v>
      </c>
      <c r="B115" t="s">
        <v>157</v>
      </c>
      <c r="C115" t="s">
        <v>45</v>
      </c>
      <c r="D115">
        <v>19</v>
      </c>
      <c r="E115">
        <v>10</v>
      </c>
      <c r="F115">
        <v>992</v>
      </c>
      <c r="G115">
        <f>404+50+134+1+76+250+20+32+100+400</f>
        <v>1467</v>
      </c>
      <c r="H115">
        <v>1024</v>
      </c>
      <c r="I115">
        <v>9</v>
      </c>
      <c r="J115">
        <f>1+12+10+153+50+30+248+3+1</f>
        <v>508</v>
      </c>
      <c r="K115">
        <v>17.5</v>
      </c>
      <c r="L115">
        <v>1008</v>
      </c>
      <c r="M115">
        <v>1000</v>
      </c>
      <c r="N115" s="2">
        <v>45919</v>
      </c>
      <c r="O115" s="2">
        <v>46283</v>
      </c>
      <c r="P115" s="2">
        <v>45922</v>
      </c>
      <c r="Q115" t="s">
        <v>27</v>
      </c>
      <c r="R115" s="3">
        <v>12</v>
      </c>
      <c r="T115" t="s">
        <v>39</v>
      </c>
      <c r="U115" t="s">
        <v>158</v>
      </c>
    </row>
    <row r="116" spans="1:21" x14ac:dyDescent="0.3">
      <c r="A116" t="s">
        <v>212</v>
      </c>
      <c r="B116" t="s">
        <v>213</v>
      </c>
      <c r="C116" t="s">
        <v>45</v>
      </c>
      <c r="D116">
        <v>10</v>
      </c>
      <c r="E116">
        <v>8</v>
      </c>
      <c r="F116">
        <v>1010</v>
      </c>
      <c r="G116">
        <f>60+11+50+50+1+32+210</f>
        <v>414</v>
      </c>
      <c r="H116">
        <v>1027</v>
      </c>
      <c r="I116">
        <v>2</v>
      </c>
      <c r="J116">
        <v>10</v>
      </c>
      <c r="K116">
        <v>21.5</v>
      </c>
      <c r="L116">
        <v>1018.5</v>
      </c>
      <c r="M116">
        <v>1000</v>
      </c>
      <c r="N116" s="2">
        <v>45912</v>
      </c>
      <c r="O116" s="2">
        <v>46276</v>
      </c>
      <c r="P116" s="2">
        <v>45915</v>
      </c>
      <c r="Q116" t="s">
        <v>27</v>
      </c>
      <c r="R116" s="3">
        <v>12</v>
      </c>
      <c r="T116" t="s">
        <v>39</v>
      </c>
      <c r="U116" t="s">
        <v>214</v>
      </c>
    </row>
    <row r="117" spans="1:21" x14ac:dyDescent="0.3">
      <c r="A117" t="s">
        <v>215</v>
      </c>
      <c r="B117" t="s">
        <v>30</v>
      </c>
      <c r="C117" t="s">
        <v>45</v>
      </c>
      <c r="D117">
        <v>6</v>
      </c>
      <c r="E117">
        <v>6</v>
      </c>
      <c r="F117">
        <v>1003</v>
      </c>
      <c r="G117">
        <f>200+555+5+6+555+10</f>
        <v>1331</v>
      </c>
      <c r="H117">
        <v>0</v>
      </c>
      <c r="I117">
        <v>0</v>
      </c>
      <c r="J117">
        <v>0</v>
      </c>
      <c r="K117">
        <v>15.15</v>
      </c>
      <c r="L117">
        <v>1003</v>
      </c>
      <c r="M117">
        <v>1000</v>
      </c>
      <c r="N117" s="2">
        <v>45912</v>
      </c>
      <c r="O117" s="2">
        <v>45911</v>
      </c>
      <c r="P117" s="2">
        <v>45912</v>
      </c>
      <c r="Q117" t="s">
        <v>27</v>
      </c>
      <c r="R117" s="3">
        <v>12</v>
      </c>
      <c r="T117" t="s">
        <v>40</v>
      </c>
      <c r="U117" t="s">
        <v>202</v>
      </c>
    </row>
    <row r="118" spans="1:21" x14ac:dyDescent="0.3">
      <c r="A118" t="s">
        <v>216</v>
      </c>
      <c r="B118" t="s">
        <v>127</v>
      </c>
      <c r="C118" t="s">
        <v>45</v>
      </c>
      <c r="D118">
        <v>18</v>
      </c>
      <c r="E118">
        <v>8</v>
      </c>
      <c r="F118">
        <v>1015</v>
      </c>
      <c r="G118">
        <f>1+1+10+50+20+10+500+200</f>
        <v>792</v>
      </c>
      <c r="H118">
        <v>1020</v>
      </c>
      <c r="I118">
        <v>10</v>
      </c>
      <c r="J118">
        <f>10+255+3+100+10+7+5+3+1+100+120</f>
        <v>614</v>
      </c>
      <c r="K118">
        <v>19.5</v>
      </c>
      <c r="L118">
        <v>1015</v>
      </c>
      <c r="M118">
        <v>1000</v>
      </c>
      <c r="N118" s="2">
        <v>45908</v>
      </c>
      <c r="O118" s="2">
        <v>46273</v>
      </c>
      <c r="P118" s="2">
        <v>45909</v>
      </c>
      <c r="Q118" t="s">
        <v>27</v>
      </c>
      <c r="R118" s="3">
        <v>12</v>
      </c>
      <c r="T118" t="s">
        <v>39</v>
      </c>
      <c r="U118" t="s">
        <v>59</v>
      </c>
    </row>
    <row r="119" spans="1:21" x14ac:dyDescent="0.3">
      <c r="A119" t="s">
        <v>217</v>
      </c>
      <c r="B119" t="s">
        <v>51</v>
      </c>
      <c r="C119" t="s">
        <v>45</v>
      </c>
      <c r="D119">
        <v>24</v>
      </c>
      <c r="E119">
        <v>13</v>
      </c>
      <c r="F119">
        <v>989</v>
      </c>
      <c r="G119">
        <f>50+6+5+31+10+5+14+5+2+1+6+30+600</f>
        <v>765</v>
      </c>
      <c r="H119">
        <v>1000</v>
      </c>
      <c r="I119">
        <v>11</v>
      </c>
      <c r="J119">
        <f>421+500+500+500+764+1+100+30+10+1+1</f>
        <v>2828</v>
      </c>
      <c r="K119" t="s">
        <v>218</v>
      </c>
      <c r="L119">
        <v>994.5</v>
      </c>
      <c r="M119">
        <v>1000</v>
      </c>
      <c r="N119" s="2">
        <v>45901</v>
      </c>
      <c r="O119" s="2">
        <v>46266</v>
      </c>
      <c r="P119" s="2">
        <v>46267</v>
      </c>
      <c r="Q119" t="s">
        <v>27</v>
      </c>
      <c r="R119" s="3">
        <v>12</v>
      </c>
      <c r="T119" t="s">
        <v>39</v>
      </c>
      <c r="U119" t="s">
        <v>59</v>
      </c>
    </row>
    <row r="120" spans="1:21" x14ac:dyDescent="0.3">
      <c r="A120" t="s">
        <v>219</v>
      </c>
      <c r="B120" t="s">
        <v>112</v>
      </c>
      <c r="C120" t="s">
        <v>45</v>
      </c>
      <c r="D120">
        <v>2</v>
      </c>
      <c r="E120">
        <v>2</v>
      </c>
      <c r="F120">
        <v>1000</v>
      </c>
      <c r="G120">
        <v>0</v>
      </c>
      <c r="H120">
        <v>0</v>
      </c>
      <c r="I120">
        <v>0</v>
      </c>
      <c r="J120">
        <v>0</v>
      </c>
      <c r="K120">
        <v>21.5</v>
      </c>
      <c r="L120">
        <v>1000</v>
      </c>
      <c r="M120">
        <v>1000</v>
      </c>
      <c r="N120" s="2">
        <v>45898</v>
      </c>
      <c r="O120" s="2">
        <v>46262</v>
      </c>
      <c r="P120" s="2">
        <v>45901</v>
      </c>
      <c r="Q120" t="s">
        <v>27</v>
      </c>
      <c r="R120" s="3">
        <v>12</v>
      </c>
      <c r="T120" t="s">
        <v>40</v>
      </c>
      <c r="U120" t="s">
        <v>125</v>
      </c>
    </row>
    <row r="121" spans="1:21" x14ac:dyDescent="0.3">
      <c r="A121" t="s">
        <v>220</v>
      </c>
      <c r="B121" t="s">
        <v>30</v>
      </c>
      <c r="C121" t="s">
        <v>45</v>
      </c>
      <c r="D121">
        <v>7</v>
      </c>
      <c r="E121">
        <v>7</v>
      </c>
      <c r="F121">
        <v>1003</v>
      </c>
      <c r="G121">
        <f>50+50+555+6+605+1055+10</f>
        <v>2331</v>
      </c>
      <c r="H121">
        <v>0</v>
      </c>
      <c r="I121">
        <v>0</v>
      </c>
      <c r="J121">
        <v>0</v>
      </c>
      <c r="K121">
        <v>14.07</v>
      </c>
      <c r="L121">
        <v>1003</v>
      </c>
      <c r="M121">
        <v>1000</v>
      </c>
      <c r="N121" s="2">
        <v>45889</v>
      </c>
      <c r="O121" s="2">
        <v>46253</v>
      </c>
      <c r="P121" s="2">
        <v>45889</v>
      </c>
      <c r="Q121" t="s">
        <v>27</v>
      </c>
      <c r="R121" s="3">
        <v>12</v>
      </c>
      <c r="T121" t="s">
        <v>40</v>
      </c>
      <c r="U121" t="s">
        <v>202</v>
      </c>
    </row>
    <row r="122" spans="1:21" x14ac:dyDescent="0.3">
      <c r="A122" t="s">
        <v>221</v>
      </c>
      <c r="B122" t="s">
        <v>30</v>
      </c>
      <c r="C122" t="s">
        <v>45</v>
      </c>
      <c r="D122">
        <v>5</v>
      </c>
      <c r="E122">
        <v>5</v>
      </c>
      <c r="F122">
        <v>1002</v>
      </c>
      <c r="G122">
        <f>100+555+4+525+10</f>
        <v>1194</v>
      </c>
      <c r="H122">
        <v>0</v>
      </c>
      <c r="I122">
        <v>0</v>
      </c>
      <c r="J122">
        <v>0</v>
      </c>
      <c r="K122">
        <v>14.1</v>
      </c>
      <c r="L122">
        <v>1002</v>
      </c>
      <c r="M122">
        <v>1000</v>
      </c>
      <c r="N122" s="2">
        <v>45888</v>
      </c>
      <c r="O122" s="2">
        <v>46252</v>
      </c>
      <c r="P122" s="2">
        <v>45888</v>
      </c>
      <c r="Q122" t="s">
        <v>27</v>
      </c>
      <c r="R122" s="3">
        <v>12</v>
      </c>
      <c r="T122" t="s">
        <v>40</v>
      </c>
      <c r="U122" t="s">
        <v>202</v>
      </c>
    </row>
    <row r="123" spans="1:21" x14ac:dyDescent="0.3">
      <c r="A123" t="s">
        <v>222</v>
      </c>
      <c r="B123" t="s">
        <v>112</v>
      </c>
      <c r="C123" t="s">
        <v>45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21.5</v>
      </c>
      <c r="L123">
        <v>1000</v>
      </c>
      <c r="M123">
        <v>1000</v>
      </c>
      <c r="N123" s="2">
        <v>45885</v>
      </c>
      <c r="O123" s="2">
        <v>46248</v>
      </c>
      <c r="P123" s="2">
        <v>45887</v>
      </c>
      <c r="Q123" t="s">
        <v>27</v>
      </c>
      <c r="R123" s="3">
        <v>12</v>
      </c>
      <c r="T123" t="s">
        <v>40</v>
      </c>
      <c r="U123" t="s">
        <v>125</v>
      </c>
    </row>
    <row r="124" spans="1:21" x14ac:dyDescent="0.3">
      <c r="A124" t="s">
        <v>223</v>
      </c>
      <c r="B124" t="s">
        <v>30</v>
      </c>
      <c r="C124" t="s">
        <v>45</v>
      </c>
      <c r="D124">
        <v>5</v>
      </c>
      <c r="E124">
        <v>4</v>
      </c>
      <c r="F124">
        <v>980</v>
      </c>
      <c r="G124">
        <f>200+1000+101+110</f>
        <v>1411</v>
      </c>
      <c r="H124">
        <v>1050</v>
      </c>
      <c r="I124">
        <v>1</v>
      </c>
      <c r="J124">
        <v>47</v>
      </c>
      <c r="K124">
        <v>13.33</v>
      </c>
      <c r="L124">
        <v>1015</v>
      </c>
      <c r="M124">
        <v>1000</v>
      </c>
      <c r="N124" s="2">
        <v>45880</v>
      </c>
      <c r="O124" s="2">
        <v>46245</v>
      </c>
      <c r="P124" s="2">
        <v>46246</v>
      </c>
      <c r="Q124" t="s">
        <v>27</v>
      </c>
      <c r="R124" s="3">
        <v>12</v>
      </c>
      <c r="T124" t="s">
        <v>39</v>
      </c>
      <c r="U124" t="s">
        <v>202</v>
      </c>
    </row>
    <row r="125" spans="1:21" x14ac:dyDescent="0.3">
      <c r="A125" t="s">
        <v>222</v>
      </c>
      <c r="B125" t="s">
        <v>112</v>
      </c>
      <c r="C125" t="s">
        <v>45</v>
      </c>
      <c r="D125">
        <v>32</v>
      </c>
      <c r="E125">
        <v>2</v>
      </c>
      <c r="F125">
        <v>801</v>
      </c>
      <c r="G125">
        <v>301</v>
      </c>
      <c r="H125">
        <v>849</v>
      </c>
      <c r="I125">
        <v>30</v>
      </c>
      <c r="J125">
        <f>40+500+45+4+310+400+234+5+11+100+33+2294+100+200+13+3+1+1+1174+1+2500+396+851+19399+100+500+101+10+3+1</f>
        <v>29330</v>
      </c>
      <c r="K125">
        <v>21.5</v>
      </c>
      <c r="L125">
        <v>825</v>
      </c>
      <c r="M125">
        <v>1000</v>
      </c>
      <c r="N125" s="2">
        <v>45876</v>
      </c>
      <c r="O125" s="2">
        <v>46241</v>
      </c>
      <c r="P125" s="2">
        <v>45877</v>
      </c>
      <c r="Q125" t="s">
        <v>27</v>
      </c>
      <c r="R125" s="3">
        <v>12</v>
      </c>
      <c r="T125" t="s">
        <v>39</v>
      </c>
      <c r="U125" t="s">
        <v>125</v>
      </c>
    </row>
    <row r="126" spans="1:21" x14ac:dyDescent="0.3">
      <c r="A126" t="s">
        <v>224</v>
      </c>
      <c r="B126" t="s">
        <v>51</v>
      </c>
      <c r="C126" t="s">
        <v>45</v>
      </c>
      <c r="D126">
        <v>18</v>
      </c>
      <c r="E126">
        <v>7</v>
      </c>
      <c r="F126">
        <v>1000</v>
      </c>
      <c r="G126">
        <f>200+500+32+50+45+25+5</f>
        <v>857</v>
      </c>
      <c r="H126">
        <v>1010</v>
      </c>
      <c r="I126">
        <v>11</v>
      </c>
      <c r="J126">
        <f>100+1+2+3+5+10+100+44+786+769+103</f>
        <v>1923</v>
      </c>
      <c r="K126">
        <v>22.5</v>
      </c>
      <c r="L126">
        <v>1005</v>
      </c>
      <c r="M126">
        <v>1000</v>
      </c>
      <c r="N126" s="2">
        <v>45873</v>
      </c>
      <c r="O126" s="2">
        <v>46238</v>
      </c>
      <c r="P126" s="2">
        <v>45874</v>
      </c>
      <c r="Q126" t="s">
        <v>27</v>
      </c>
      <c r="R126" s="3">
        <v>12</v>
      </c>
      <c r="T126" t="s">
        <v>39</v>
      </c>
      <c r="U126" t="s">
        <v>59</v>
      </c>
    </row>
    <row r="127" spans="1:21" x14ac:dyDescent="0.3">
      <c r="A127" t="s">
        <v>225</v>
      </c>
      <c r="B127" t="s">
        <v>30</v>
      </c>
      <c r="C127" t="s">
        <v>45</v>
      </c>
      <c r="D127">
        <v>6</v>
      </c>
      <c r="E127">
        <v>6</v>
      </c>
      <c r="F127">
        <v>1004</v>
      </c>
      <c r="G127">
        <f>200+50+555+7+525+100</f>
        <v>1437</v>
      </c>
      <c r="H127">
        <v>0</v>
      </c>
      <c r="I127">
        <v>0</v>
      </c>
      <c r="J127">
        <v>0</v>
      </c>
      <c r="K127">
        <v>14.5</v>
      </c>
      <c r="L127">
        <v>1004</v>
      </c>
      <c r="M127">
        <v>1000</v>
      </c>
      <c r="N127" s="2">
        <v>45869</v>
      </c>
      <c r="O127" s="2">
        <v>46203</v>
      </c>
      <c r="P127" s="2">
        <v>45869</v>
      </c>
      <c r="Q127" t="s">
        <v>27</v>
      </c>
      <c r="R127" s="3">
        <v>12</v>
      </c>
      <c r="T127" t="s">
        <v>40</v>
      </c>
      <c r="U127" t="s">
        <v>202</v>
      </c>
    </row>
    <row r="128" spans="1:21" x14ac:dyDescent="0.3">
      <c r="A128" t="s">
        <v>226</v>
      </c>
      <c r="B128" t="s">
        <v>30</v>
      </c>
      <c r="C128" t="s">
        <v>45</v>
      </c>
      <c r="D128">
        <v>6</v>
      </c>
      <c r="E128">
        <v>5</v>
      </c>
      <c r="F128">
        <v>940</v>
      </c>
      <c r="G128">
        <f>1+50+336+555+110</f>
        <v>1052</v>
      </c>
      <c r="H128">
        <v>1200</v>
      </c>
      <c r="I128">
        <v>1</v>
      </c>
      <c r="J128">
        <v>1</v>
      </c>
      <c r="K128">
        <v>15</v>
      </c>
      <c r="L128">
        <v>1070</v>
      </c>
      <c r="M128">
        <v>1000</v>
      </c>
      <c r="N128" s="2">
        <v>45863</v>
      </c>
      <c r="O128" s="2">
        <v>46959</v>
      </c>
      <c r="P128" s="2">
        <v>45863</v>
      </c>
      <c r="Q128" t="s">
        <v>27</v>
      </c>
      <c r="R128" s="3">
        <v>36</v>
      </c>
      <c r="T128" t="s">
        <v>40</v>
      </c>
      <c r="U128" t="s">
        <v>202</v>
      </c>
    </row>
    <row r="129" spans="1:21" x14ac:dyDescent="0.3">
      <c r="A129" t="s">
        <v>227</v>
      </c>
      <c r="B129" t="s">
        <v>228</v>
      </c>
      <c r="C129" t="s">
        <v>45</v>
      </c>
      <c r="D129">
        <v>6</v>
      </c>
      <c r="E129">
        <v>6</v>
      </c>
      <c r="F129">
        <v>1003</v>
      </c>
      <c r="G129">
        <f>3+50+1+50+500+210</f>
        <v>814</v>
      </c>
      <c r="H129">
        <v>0</v>
      </c>
      <c r="I129">
        <v>0</v>
      </c>
      <c r="J129">
        <v>0</v>
      </c>
      <c r="K129">
        <v>19.5</v>
      </c>
      <c r="L129">
        <v>1003</v>
      </c>
      <c r="M129">
        <v>1000</v>
      </c>
      <c r="N129" s="2">
        <v>45886</v>
      </c>
      <c r="O129" s="2">
        <v>46220</v>
      </c>
      <c r="P129" s="2">
        <v>45856</v>
      </c>
      <c r="Q129" t="s">
        <v>27</v>
      </c>
      <c r="R129" s="3">
        <v>12</v>
      </c>
      <c r="T129" t="s">
        <v>39</v>
      </c>
      <c r="U129" t="s">
        <v>59</v>
      </c>
    </row>
    <row r="130" spans="1:21" x14ac:dyDescent="0.3">
      <c r="A130" t="s">
        <v>229</v>
      </c>
      <c r="B130" t="s">
        <v>230</v>
      </c>
      <c r="C130" t="s">
        <v>45</v>
      </c>
      <c r="D130">
        <v>5</v>
      </c>
      <c r="E130">
        <v>4</v>
      </c>
      <c r="F130">
        <v>1006</v>
      </c>
      <c r="G130">
        <f>1+5+64+50</f>
        <v>120</v>
      </c>
      <c r="H130">
        <v>1033</v>
      </c>
      <c r="I130">
        <v>1</v>
      </c>
      <c r="J130">
        <v>17</v>
      </c>
      <c r="K130">
        <v>23.75</v>
      </c>
      <c r="L130">
        <v>1019.5</v>
      </c>
      <c r="M130">
        <v>1000</v>
      </c>
      <c r="N130" s="2">
        <v>45854</v>
      </c>
      <c r="O130" s="2">
        <v>46218</v>
      </c>
      <c r="P130" s="2">
        <v>45854</v>
      </c>
      <c r="Q130" t="s">
        <v>27</v>
      </c>
      <c r="R130" s="3">
        <v>12</v>
      </c>
      <c r="T130" t="s">
        <v>39</v>
      </c>
      <c r="U130" t="s">
        <v>59</v>
      </c>
    </row>
    <row r="131" spans="1:21" x14ac:dyDescent="0.3">
      <c r="A131" t="s">
        <v>231</v>
      </c>
      <c r="B131" t="s">
        <v>175</v>
      </c>
      <c r="C131" t="s">
        <v>45</v>
      </c>
      <c r="D131">
        <v>19</v>
      </c>
      <c r="E131">
        <v>10</v>
      </c>
      <c r="F131">
        <v>1015</v>
      </c>
      <c r="G131">
        <f>45+1+150+100+19+3+100+32+190+100</f>
        <v>740</v>
      </c>
      <c r="H131">
        <v>1033</v>
      </c>
      <c r="I131">
        <v>9</v>
      </c>
      <c r="J131">
        <f>193+10+1+1+167+1000+1000+1000+1000</f>
        <v>4372</v>
      </c>
      <c r="K131">
        <v>24</v>
      </c>
      <c r="L131">
        <v>1024</v>
      </c>
      <c r="M131">
        <v>1000</v>
      </c>
      <c r="N131" s="2">
        <v>45850</v>
      </c>
      <c r="O131" s="2">
        <v>46213</v>
      </c>
      <c r="P131" s="2">
        <v>45852</v>
      </c>
      <c r="Q131" t="s">
        <v>27</v>
      </c>
      <c r="R131" s="3">
        <v>12</v>
      </c>
      <c r="T131" t="s">
        <v>39</v>
      </c>
      <c r="U131" t="s">
        <v>59</v>
      </c>
    </row>
    <row r="132" spans="1:21" x14ac:dyDescent="0.3">
      <c r="A132" t="s">
        <v>232</v>
      </c>
      <c r="B132" t="s">
        <v>196</v>
      </c>
      <c r="C132" t="s">
        <v>45</v>
      </c>
      <c r="D132">
        <v>10</v>
      </c>
      <c r="E132">
        <v>5</v>
      </c>
      <c r="F132">
        <v>1004</v>
      </c>
      <c r="G132">
        <f>1+5+608+15+1000</f>
        <v>1629</v>
      </c>
      <c r="H132">
        <v>1029</v>
      </c>
      <c r="I132">
        <v>5</v>
      </c>
      <c r="J132">
        <f>900+530+1+7+1001</f>
        <v>2439</v>
      </c>
      <c r="K132">
        <v>20</v>
      </c>
      <c r="L132">
        <v>1016.5</v>
      </c>
      <c r="M132">
        <v>1000</v>
      </c>
      <c r="N132" s="2">
        <v>45839</v>
      </c>
      <c r="O132" s="2">
        <v>46203</v>
      </c>
      <c r="P132" s="2">
        <v>45839</v>
      </c>
      <c r="Q132" t="s">
        <v>27</v>
      </c>
      <c r="R132" s="3">
        <v>12</v>
      </c>
      <c r="T132" t="s">
        <v>233</v>
      </c>
      <c r="U132" t="s">
        <v>197</v>
      </c>
    </row>
    <row r="133" spans="1:21" x14ac:dyDescent="0.3">
      <c r="A133" t="s">
        <v>234</v>
      </c>
      <c r="B133" t="s">
        <v>228</v>
      </c>
      <c r="C133" t="s">
        <v>45</v>
      </c>
      <c r="D133">
        <v>3</v>
      </c>
      <c r="E133">
        <v>3</v>
      </c>
      <c r="F133">
        <v>1000</v>
      </c>
      <c r="G133">
        <f>105+500+141</f>
        <v>746</v>
      </c>
      <c r="H133">
        <v>0</v>
      </c>
      <c r="I133">
        <v>0</v>
      </c>
      <c r="J133">
        <v>0</v>
      </c>
      <c r="K133">
        <v>21</v>
      </c>
      <c r="L133">
        <v>1000</v>
      </c>
      <c r="M133">
        <v>1000</v>
      </c>
      <c r="N133" s="2">
        <v>45839</v>
      </c>
      <c r="O133" s="2">
        <v>46203</v>
      </c>
      <c r="P133" s="2">
        <v>45839</v>
      </c>
      <c r="Q133" t="s">
        <v>27</v>
      </c>
      <c r="R133" s="3">
        <v>12</v>
      </c>
      <c r="T133" t="s">
        <v>39</v>
      </c>
      <c r="U133" t="s">
        <v>59</v>
      </c>
    </row>
    <row r="134" spans="1:21" x14ac:dyDescent="0.3">
      <c r="A134" t="s">
        <v>235</v>
      </c>
      <c r="B134" t="s">
        <v>236</v>
      </c>
      <c r="C134" t="s">
        <v>45</v>
      </c>
      <c r="D134">
        <v>7</v>
      </c>
      <c r="E134">
        <v>5</v>
      </c>
      <c r="F134">
        <v>1030</v>
      </c>
      <c r="G134">
        <f>60+100+50+3+5</f>
        <v>218</v>
      </c>
      <c r="H134">
        <v>1032</v>
      </c>
      <c r="I134">
        <v>2</v>
      </c>
      <c r="J134">
        <f>95+59</f>
        <v>154</v>
      </c>
      <c r="K134">
        <v>26</v>
      </c>
      <c r="L134">
        <v>1031</v>
      </c>
      <c r="M134">
        <v>1000</v>
      </c>
      <c r="N134" s="2">
        <v>45825</v>
      </c>
      <c r="O134" s="2">
        <v>45824</v>
      </c>
      <c r="P134" s="2">
        <v>45825</v>
      </c>
      <c r="Q134" t="s">
        <v>27</v>
      </c>
      <c r="R134" s="3">
        <v>12</v>
      </c>
      <c r="T134" t="s">
        <v>39</v>
      </c>
      <c r="U134" t="s">
        <v>59</v>
      </c>
    </row>
    <row r="135" spans="1:21" x14ac:dyDescent="0.3">
      <c r="A135" t="s">
        <v>237</v>
      </c>
      <c r="B135" t="s">
        <v>238</v>
      </c>
      <c r="C135" t="s">
        <v>45</v>
      </c>
      <c r="D135">
        <v>29</v>
      </c>
      <c r="E135">
        <v>9</v>
      </c>
      <c r="F135">
        <v>103</v>
      </c>
      <c r="G135">
        <f>3911+100+5+50+10+15+1000+10+10</f>
        <v>5111</v>
      </c>
      <c r="H135">
        <v>250</v>
      </c>
      <c r="I135">
        <v>20</v>
      </c>
      <c r="J135">
        <f>16+2+2+6</f>
        <v>26</v>
      </c>
      <c r="K135">
        <v>25</v>
      </c>
      <c r="L135">
        <v>176.5</v>
      </c>
      <c r="M135">
        <v>1000</v>
      </c>
      <c r="N135" s="2">
        <v>45820</v>
      </c>
      <c r="O135" s="2">
        <v>47553</v>
      </c>
      <c r="P135" s="2">
        <v>45824</v>
      </c>
      <c r="Q135" t="s">
        <v>27</v>
      </c>
      <c r="R135" s="3">
        <v>9</v>
      </c>
      <c r="T135" t="s">
        <v>39</v>
      </c>
      <c r="U135" t="s">
        <v>59</v>
      </c>
    </row>
    <row r="136" spans="1:21" x14ac:dyDescent="0.3">
      <c r="A136" t="s">
        <v>239</v>
      </c>
      <c r="B136" t="s">
        <v>30</v>
      </c>
      <c r="C136" t="s">
        <v>45</v>
      </c>
      <c r="D136">
        <v>2</v>
      </c>
      <c r="E136">
        <v>2</v>
      </c>
      <c r="F136">
        <v>1000000</v>
      </c>
      <c r="G136">
        <v>2</v>
      </c>
      <c r="H136">
        <v>0</v>
      </c>
      <c r="I136">
        <v>0</v>
      </c>
      <c r="J136">
        <v>0</v>
      </c>
      <c r="K136">
        <v>19</v>
      </c>
      <c r="L136" s="1">
        <v>1000000</v>
      </c>
      <c r="M136" s="1">
        <v>1000000</v>
      </c>
      <c r="N136" s="2">
        <v>45812</v>
      </c>
      <c r="O136" s="2">
        <v>46909</v>
      </c>
      <c r="P136" s="2">
        <v>45812</v>
      </c>
      <c r="Q136" t="s">
        <v>27</v>
      </c>
      <c r="R136" s="3">
        <v>36</v>
      </c>
      <c r="T136" t="s">
        <v>39</v>
      </c>
      <c r="U136" t="s">
        <v>202</v>
      </c>
    </row>
    <row r="137" spans="1:21" x14ac:dyDescent="0.3">
      <c r="A137" t="s">
        <v>240</v>
      </c>
      <c r="B137" t="s">
        <v>112</v>
      </c>
      <c r="C137" t="s">
        <v>45</v>
      </c>
      <c r="D137">
        <v>26</v>
      </c>
      <c r="E137">
        <v>13</v>
      </c>
      <c r="F137">
        <v>950</v>
      </c>
      <c r="G137">
        <f>706+1963+400+5+956+200+100+849+5+80+122+5+408</f>
        <v>5799</v>
      </c>
      <c r="H137">
        <v>985</v>
      </c>
      <c r="I137">
        <v>13</v>
      </c>
      <c r="J137">
        <f>40+160+638+35+50+1926+470+5319+200+400+6+1500+731</f>
        <v>11475</v>
      </c>
      <c r="K137">
        <v>25.5</v>
      </c>
      <c r="L137">
        <v>967.5</v>
      </c>
      <c r="M137">
        <v>1000</v>
      </c>
      <c r="N137" s="2">
        <v>45812</v>
      </c>
      <c r="O137" s="2">
        <v>46176</v>
      </c>
      <c r="P137" s="2">
        <v>45812</v>
      </c>
      <c r="Q137" t="s">
        <v>27</v>
      </c>
      <c r="R137" s="3">
        <v>12</v>
      </c>
      <c r="T137" t="s">
        <v>39</v>
      </c>
      <c r="U137" t="s">
        <v>125</v>
      </c>
    </row>
    <row r="138" spans="1:21" x14ac:dyDescent="0.3">
      <c r="A138" t="s">
        <v>241</v>
      </c>
      <c r="B138" t="s">
        <v>172</v>
      </c>
      <c r="C138" t="s">
        <v>45</v>
      </c>
      <c r="D138">
        <v>28</v>
      </c>
      <c r="E138">
        <v>19</v>
      </c>
      <c r="F138">
        <v>1014</v>
      </c>
      <c r="G138">
        <f>7+1+245+5+3+203+100+100+50+5+178+36+183+38+177+60+4+183+35</f>
        <v>1613</v>
      </c>
      <c r="H138">
        <v>1020</v>
      </c>
      <c r="I138">
        <v>9</v>
      </c>
      <c r="J138">
        <f>1361+50+49+10+1+2+2056+1+11</f>
        <v>3541</v>
      </c>
      <c r="K138">
        <v>25.75</v>
      </c>
      <c r="L138">
        <v>1017</v>
      </c>
      <c r="M138">
        <v>1000</v>
      </c>
      <c r="N138" s="2">
        <v>45773</v>
      </c>
      <c r="O138" s="2">
        <v>45862</v>
      </c>
      <c r="P138" s="2">
        <v>45775</v>
      </c>
      <c r="Q138" t="s">
        <v>27</v>
      </c>
      <c r="R138" s="3">
        <v>15</v>
      </c>
      <c r="T138" t="s">
        <v>39</v>
      </c>
      <c r="U138" t="s">
        <v>59</v>
      </c>
    </row>
    <row r="139" spans="1:21" x14ac:dyDescent="0.3">
      <c r="A139" t="s">
        <v>242</v>
      </c>
      <c r="B139" t="s">
        <v>30</v>
      </c>
      <c r="C139" t="s">
        <v>45</v>
      </c>
      <c r="D139">
        <v>5</v>
      </c>
      <c r="E139">
        <v>5</v>
      </c>
      <c r="F139">
        <v>1012</v>
      </c>
      <c r="G139">
        <f>100+966+11+575+11</f>
        <v>1663</v>
      </c>
      <c r="H139">
        <v>0</v>
      </c>
      <c r="I139">
        <v>0</v>
      </c>
      <c r="J139">
        <v>0</v>
      </c>
      <c r="K139">
        <v>20.5</v>
      </c>
      <c r="L139">
        <v>1012</v>
      </c>
      <c r="M139">
        <v>1000</v>
      </c>
      <c r="N139" s="2">
        <v>45762</v>
      </c>
      <c r="O139" s="2">
        <v>46857</v>
      </c>
      <c r="P139" s="2">
        <v>45762</v>
      </c>
      <c r="Q139" t="s">
        <v>27</v>
      </c>
      <c r="R139" s="3">
        <v>36</v>
      </c>
      <c r="T139" t="s">
        <v>40</v>
      </c>
      <c r="U139" t="s">
        <v>202</v>
      </c>
    </row>
    <row r="140" spans="1:21" x14ac:dyDescent="0.3">
      <c r="A140" t="s">
        <v>243</v>
      </c>
      <c r="B140" t="s">
        <v>244</v>
      </c>
      <c r="C140" t="s">
        <v>45</v>
      </c>
      <c r="D140">
        <v>28</v>
      </c>
      <c r="E140">
        <v>15</v>
      </c>
      <c r="F140">
        <v>1014</v>
      </c>
      <c r="G140">
        <f>250+36+60+100+49+20+8+60+100+25+38+5+2</f>
        <v>753</v>
      </c>
      <c r="H140">
        <v>1015</v>
      </c>
      <c r="I140">
        <v>13</v>
      </c>
      <c r="J140">
        <f>50+148+4+63+153+3+300+1+50+600+4+7+1824</f>
        <v>3207</v>
      </c>
      <c r="K140">
        <v>25</v>
      </c>
      <c r="L140">
        <v>1014.5</v>
      </c>
      <c r="M140">
        <v>1000</v>
      </c>
      <c r="N140" s="2">
        <v>45745</v>
      </c>
      <c r="O140" s="2">
        <v>46293</v>
      </c>
      <c r="P140" s="2">
        <v>45747</v>
      </c>
      <c r="Q140" t="s">
        <v>27</v>
      </c>
      <c r="R140" s="3">
        <v>18</v>
      </c>
      <c r="T140" t="s">
        <v>39</v>
      </c>
      <c r="U140" t="s">
        <v>59</v>
      </c>
    </row>
    <row r="141" spans="1:21" x14ac:dyDescent="0.3">
      <c r="A141" t="s">
        <v>245</v>
      </c>
      <c r="B141" t="s">
        <v>238</v>
      </c>
      <c r="C141" t="s">
        <v>45</v>
      </c>
      <c r="D141">
        <v>10</v>
      </c>
      <c r="E141">
        <v>10</v>
      </c>
      <c r="F141">
        <v>105</v>
      </c>
      <c r="G141">
        <f>8150+1+100+20+50+35+15+1000+10+10</f>
        <v>9391</v>
      </c>
      <c r="H141">
        <v>0</v>
      </c>
      <c r="I141">
        <v>0</v>
      </c>
      <c r="J141">
        <v>0</v>
      </c>
      <c r="K141">
        <v>26.5</v>
      </c>
      <c r="L141">
        <v>105</v>
      </c>
      <c r="M141">
        <v>1000</v>
      </c>
      <c r="N141" s="2">
        <v>45738</v>
      </c>
      <c r="O141" s="2">
        <v>47836</v>
      </c>
      <c r="P141" s="2">
        <v>45740</v>
      </c>
      <c r="Q141" t="s">
        <v>27</v>
      </c>
      <c r="R141" s="3">
        <v>9</v>
      </c>
      <c r="T141" t="s">
        <v>39</v>
      </c>
      <c r="U141" t="s">
        <v>59</v>
      </c>
    </row>
    <row r="142" spans="1:21" x14ac:dyDescent="0.3">
      <c r="A142" t="s">
        <v>246</v>
      </c>
      <c r="B142" t="s">
        <v>247</v>
      </c>
      <c r="C142" t="s">
        <v>45</v>
      </c>
      <c r="D142">
        <v>16</v>
      </c>
      <c r="E142">
        <v>10</v>
      </c>
      <c r="F142">
        <v>800</v>
      </c>
      <c r="G142">
        <f>6651+5000+100+2+1+12+42+5+7+15</f>
        <v>11835</v>
      </c>
      <c r="H142">
        <v>890</v>
      </c>
      <c r="I142">
        <v>6</v>
      </c>
      <c r="J142">
        <f>25+7+1+138+5+525</f>
        <v>701</v>
      </c>
      <c r="K142">
        <v>26.75</v>
      </c>
      <c r="L142">
        <v>845</v>
      </c>
      <c r="M142">
        <v>1000</v>
      </c>
      <c r="N142" s="2">
        <v>45735</v>
      </c>
      <c r="O142" s="2">
        <v>47560</v>
      </c>
      <c r="P142" s="2">
        <v>45735</v>
      </c>
      <c r="Q142" t="s">
        <v>27</v>
      </c>
      <c r="R142" s="3">
        <v>12</v>
      </c>
      <c r="T142" t="s">
        <v>39</v>
      </c>
      <c r="U142" t="s">
        <v>59</v>
      </c>
    </row>
    <row r="143" spans="1:21" x14ac:dyDescent="0.3">
      <c r="A143" t="s">
        <v>248</v>
      </c>
      <c r="B143" t="s">
        <v>30</v>
      </c>
      <c r="C143" t="s">
        <v>45</v>
      </c>
      <c r="D143">
        <v>10</v>
      </c>
      <c r="E143">
        <v>10</v>
      </c>
      <c r="F143">
        <v>1052</v>
      </c>
      <c r="G143">
        <f>116+1170+224+555+555+620+100+539+282+48</f>
        <v>4209</v>
      </c>
      <c r="H143">
        <v>0</v>
      </c>
      <c r="I143">
        <v>0</v>
      </c>
      <c r="J143">
        <v>0</v>
      </c>
      <c r="K143">
        <v>21</v>
      </c>
      <c r="L143">
        <v>1052</v>
      </c>
      <c r="M143">
        <v>1000</v>
      </c>
      <c r="N143" s="2">
        <v>45716</v>
      </c>
      <c r="O143" s="2">
        <v>46444</v>
      </c>
      <c r="P143" s="2">
        <v>45716</v>
      </c>
      <c r="Q143" t="s">
        <v>27</v>
      </c>
      <c r="R143" s="3">
        <v>24</v>
      </c>
      <c r="T143" t="s">
        <v>40</v>
      </c>
      <c r="U143" t="s">
        <v>202</v>
      </c>
    </row>
    <row r="144" spans="1:21" x14ac:dyDescent="0.3">
      <c r="A144" t="s">
        <v>238</v>
      </c>
      <c r="B144" t="s">
        <v>238</v>
      </c>
      <c r="C144" t="s">
        <v>45</v>
      </c>
      <c r="D144">
        <v>24</v>
      </c>
      <c r="E144">
        <v>9</v>
      </c>
      <c r="F144">
        <v>202</v>
      </c>
      <c r="G144">
        <f>3102+5000+1+100+41+885+10+10+2</f>
        <v>9151</v>
      </c>
      <c r="H144">
        <v>299</v>
      </c>
      <c r="I144">
        <v>15</v>
      </c>
      <c r="J144">
        <f>1+1000+4+25+20+101+1+500+288+1+11+10</f>
        <v>1962</v>
      </c>
      <c r="K144">
        <v>27</v>
      </c>
      <c r="L144">
        <v>250.5</v>
      </c>
      <c r="M144">
        <v>1000</v>
      </c>
      <c r="N144" s="2">
        <v>45714</v>
      </c>
      <c r="O144" s="2">
        <v>47812</v>
      </c>
      <c r="P144" s="2">
        <v>45714</v>
      </c>
      <c r="Q144" t="s">
        <v>27</v>
      </c>
      <c r="R144" s="3">
        <v>9</v>
      </c>
      <c r="T144" t="s">
        <v>39</v>
      </c>
      <c r="U144" t="s">
        <v>59</v>
      </c>
    </row>
    <row r="145" spans="1:21" x14ac:dyDescent="0.3">
      <c r="A145" t="s">
        <v>249</v>
      </c>
      <c r="B145" t="s">
        <v>30</v>
      </c>
      <c r="C145" t="s">
        <v>45</v>
      </c>
      <c r="D145">
        <v>5</v>
      </c>
      <c r="E145">
        <v>5</v>
      </c>
      <c r="F145">
        <v>1010</v>
      </c>
      <c r="G145">
        <f>30+11+775+1170+100</f>
        <v>2086</v>
      </c>
      <c r="H145">
        <v>0</v>
      </c>
      <c r="I145">
        <v>0</v>
      </c>
      <c r="J145">
        <v>0</v>
      </c>
      <c r="K145">
        <v>24</v>
      </c>
      <c r="L145">
        <v>1010</v>
      </c>
      <c r="M145">
        <v>1000</v>
      </c>
      <c r="N145" s="2">
        <v>45710</v>
      </c>
      <c r="O145" s="2">
        <v>46801</v>
      </c>
      <c r="P145" s="2">
        <v>45712</v>
      </c>
      <c r="Q145" t="s">
        <v>27</v>
      </c>
      <c r="R145" s="3">
        <v>36</v>
      </c>
      <c r="T145" t="s">
        <v>40</v>
      </c>
      <c r="U145" t="s">
        <v>202</v>
      </c>
    </row>
    <row r="146" spans="1:21" x14ac:dyDescent="0.3">
      <c r="A146" t="s">
        <v>250</v>
      </c>
      <c r="B146" t="s">
        <v>30</v>
      </c>
      <c r="C146" t="s">
        <v>45</v>
      </c>
      <c r="D146">
        <v>7</v>
      </c>
      <c r="E146">
        <v>7</v>
      </c>
      <c r="F146">
        <v>1111</v>
      </c>
      <c r="G146">
        <f>1137+212+775+1+1+1+111</f>
        <v>2238</v>
      </c>
      <c r="H146">
        <v>0</v>
      </c>
      <c r="I146">
        <v>0</v>
      </c>
      <c r="J146">
        <v>0</v>
      </c>
      <c r="K146">
        <v>25.32</v>
      </c>
      <c r="L146">
        <v>1111</v>
      </c>
      <c r="M146">
        <v>1000</v>
      </c>
      <c r="N146" s="2">
        <v>45703</v>
      </c>
      <c r="O146" s="2">
        <v>46794</v>
      </c>
      <c r="P146" s="2">
        <v>45705</v>
      </c>
      <c r="Q146" t="s">
        <v>27</v>
      </c>
      <c r="R146" s="3">
        <v>36</v>
      </c>
      <c r="T146" t="s">
        <v>40</v>
      </c>
      <c r="U146" t="s">
        <v>202</v>
      </c>
    </row>
    <row r="147" spans="1:21" x14ac:dyDescent="0.3">
      <c r="A147" t="s">
        <v>251</v>
      </c>
      <c r="B147" t="s">
        <v>30</v>
      </c>
      <c r="C147" t="s">
        <v>45</v>
      </c>
      <c r="D147">
        <v>6</v>
      </c>
      <c r="E147">
        <v>6</v>
      </c>
      <c r="F147">
        <v>1003</v>
      </c>
      <c r="G147">
        <f>100+705+656+302+11+1</f>
        <v>1775</v>
      </c>
      <c r="H147">
        <v>0</v>
      </c>
      <c r="I147">
        <v>0</v>
      </c>
      <c r="J147">
        <v>0</v>
      </c>
      <c r="K147">
        <v>25.9</v>
      </c>
      <c r="L147">
        <v>1003</v>
      </c>
      <c r="M147">
        <v>1000</v>
      </c>
      <c r="N147" s="2">
        <v>45701</v>
      </c>
      <c r="O147" s="2">
        <v>46794</v>
      </c>
      <c r="P147" s="2">
        <v>45701</v>
      </c>
      <c r="Q147" t="s">
        <v>27</v>
      </c>
      <c r="R147" s="3">
        <v>36</v>
      </c>
      <c r="T147" t="s">
        <v>40</v>
      </c>
      <c r="U147" t="s">
        <v>202</v>
      </c>
    </row>
    <row r="148" spans="1:21" x14ac:dyDescent="0.3">
      <c r="A148" t="s">
        <v>252</v>
      </c>
      <c r="B148" t="s">
        <v>30</v>
      </c>
      <c r="C148" t="s">
        <v>45</v>
      </c>
      <c r="D148">
        <v>9</v>
      </c>
      <c r="E148">
        <v>9</v>
      </c>
      <c r="F148">
        <v>1111</v>
      </c>
      <c r="G148">
        <f>104+1130+212+658+1+50+1+30+11</f>
        <v>2197</v>
      </c>
      <c r="H148">
        <v>0</v>
      </c>
      <c r="I148">
        <v>0</v>
      </c>
      <c r="J148">
        <v>0</v>
      </c>
      <c r="K148">
        <v>25.91</v>
      </c>
      <c r="L148">
        <v>1111</v>
      </c>
      <c r="M148">
        <v>1000</v>
      </c>
      <c r="N148" s="2">
        <v>45696</v>
      </c>
      <c r="O148" s="2">
        <v>46787</v>
      </c>
      <c r="P148" s="2">
        <v>45698</v>
      </c>
      <c r="Q148" t="s">
        <v>27</v>
      </c>
      <c r="R148" s="3">
        <v>36</v>
      </c>
      <c r="T148" t="s">
        <v>40</v>
      </c>
      <c r="U148" t="s">
        <v>202</v>
      </c>
    </row>
    <row r="149" spans="1:21" x14ac:dyDescent="0.3">
      <c r="A149" t="s">
        <v>253</v>
      </c>
      <c r="B149" t="s">
        <v>30</v>
      </c>
      <c r="C149" t="s">
        <v>45</v>
      </c>
      <c r="D149">
        <v>8</v>
      </c>
      <c r="E149">
        <v>8</v>
      </c>
      <c r="F149">
        <v>1110</v>
      </c>
      <c r="G149">
        <f>1124+212+1426+50+525+274+10+1</f>
        <v>3622</v>
      </c>
      <c r="H149">
        <v>0</v>
      </c>
      <c r="I149">
        <v>0</v>
      </c>
      <c r="J149">
        <v>0</v>
      </c>
      <c r="K149">
        <v>26.48</v>
      </c>
      <c r="L149">
        <v>1110</v>
      </c>
      <c r="M149">
        <v>1000</v>
      </c>
      <c r="N149" s="2">
        <v>45694</v>
      </c>
      <c r="O149" s="2">
        <v>46787</v>
      </c>
      <c r="P149" s="2">
        <v>45694</v>
      </c>
      <c r="Q149" t="s">
        <v>27</v>
      </c>
      <c r="R149" s="3">
        <v>36</v>
      </c>
      <c r="T149" t="s">
        <v>40</v>
      </c>
      <c r="U149" t="s">
        <v>202</v>
      </c>
    </row>
    <row r="150" spans="1:21" x14ac:dyDescent="0.3">
      <c r="A150" t="s">
        <v>254</v>
      </c>
      <c r="B150" t="s">
        <v>30</v>
      </c>
      <c r="C150" t="s">
        <v>45</v>
      </c>
      <c r="D150">
        <v>8</v>
      </c>
      <c r="E150">
        <v>8</v>
      </c>
      <c r="F150">
        <v>1200</v>
      </c>
      <c r="G150">
        <f>100+1124+212+669+1+1+85+40</f>
        <v>2232</v>
      </c>
      <c r="H150">
        <v>0</v>
      </c>
      <c r="I150">
        <v>0</v>
      </c>
      <c r="J150">
        <v>0</v>
      </c>
      <c r="K150">
        <v>26.47</v>
      </c>
      <c r="L150">
        <v>1200</v>
      </c>
      <c r="M150">
        <v>1000</v>
      </c>
      <c r="N150" s="2">
        <v>45689</v>
      </c>
      <c r="O150" s="2">
        <v>46780</v>
      </c>
      <c r="P150" s="2">
        <v>45691</v>
      </c>
      <c r="Q150" t="s">
        <v>27</v>
      </c>
      <c r="R150" s="3">
        <v>36</v>
      </c>
      <c r="T150" t="s">
        <v>40</v>
      </c>
      <c r="U150" t="s">
        <v>202</v>
      </c>
    </row>
    <row r="151" spans="1:21" x14ac:dyDescent="0.3">
      <c r="A151" t="s">
        <v>238</v>
      </c>
      <c r="B151" t="s">
        <v>238</v>
      </c>
      <c r="C151" t="s">
        <v>45</v>
      </c>
      <c r="D151">
        <v>25</v>
      </c>
      <c r="E151">
        <v>9</v>
      </c>
      <c r="F151">
        <v>141</v>
      </c>
      <c r="G151">
        <f>7000+5000+100+26+50+21+1025+10+10</f>
        <v>13242</v>
      </c>
      <c r="H151">
        <v>249</v>
      </c>
      <c r="I151">
        <f>D151-E151</f>
        <v>16</v>
      </c>
      <c r="J151">
        <f>2+43+5+10*6+5+1+1+2+189+1+15</f>
        <v>324</v>
      </c>
      <c r="K151">
        <v>27</v>
      </c>
      <c r="L151">
        <v>195</v>
      </c>
      <c r="M151">
        <v>1000</v>
      </c>
      <c r="N151" s="2">
        <v>45653</v>
      </c>
      <c r="O151" s="2">
        <v>47752</v>
      </c>
      <c r="P151" s="2">
        <v>45653</v>
      </c>
      <c r="Q151" t="s">
        <v>27</v>
      </c>
      <c r="R151" s="3">
        <v>9</v>
      </c>
      <c r="T151" t="s">
        <v>39</v>
      </c>
      <c r="U151" t="s">
        <v>59</v>
      </c>
    </row>
    <row r="152" spans="1:21" x14ac:dyDescent="0.3">
      <c r="A152" t="s">
        <v>255</v>
      </c>
      <c r="B152" t="s">
        <v>30</v>
      </c>
      <c r="C152" t="s">
        <v>45</v>
      </c>
      <c r="D152">
        <v>4</v>
      </c>
      <c r="E152">
        <v>4</v>
      </c>
      <c r="F152">
        <v>1200</v>
      </c>
      <c r="G152">
        <f>75+1+5+40</f>
        <v>121</v>
      </c>
      <c r="H152">
        <v>0</v>
      </c>
      <c r="I152">
        <v>0</v>
      </c>
      <c r="J152">
        <v>0</v>
      </c>
      <c r="K152">
        <v>25</v>
      </c>
      <c r="L152">
        <v>1200</v>
      </c>
      <c r="M152">
        <v>1000</v>
      </c>
      <c r="N152" s="2">
        <v>45632</v>
      </c>
      <c r="O152" s="2">
        <v>46727</v>
      </c>
      <c r="P152" s="2">
        <v>45632</v>
      </c>
      <c r="Q152" t="s">
        <v>27</v>
      </c>
      <c r="R152" s="3">
        <v>36</v>
      </c>
      <c r="T152" t="s">
        <v>40</v>
      </c>
      <c r="U152" t="s">
        <v>202</v>
      </c>
    </row>
    <row r="153" spans="1:21" x14ac:dyDescent="0.3">
      <c r="A153" t="s">
        <v>256</v>
      </c>
      <c r="B153" t="s">
        <v>30</v>
      </c>
      <c r="C153" t="s">
        <v>45</v>
      </c>
      <c r="D153">
        <v>12</v>
      </c>
      <c r="E153">
        <v>12</v>
      </c>
      <c r="F153">
        <v>1052</v>
      </c>
      <c r="G153">
        <f>110+1143+555+1242+16+300+555+297+200+2+2+1</f>
        <v>4423</v>
      </c>
      <c r="H153">
        <v>0</v>
      </c>
      <c r="I153">
        <v>0</v>
      </c>
      <c r="J153">
        <v>0</v>
      </c>
      <c r="K153">
        <v>22.9</v>
      </c>
      <c r="L153">
        <v>1052</v>
      </c>
      <c r="M153">
        <v>1000</v>
      </c>
      <c r="N153" s="2">
        <v>45629</v>
      </c>
      <c r="O153" s="2">
        <v>46723</v>
      </c>
      <c r="P153" s="2">
        <v>45629</v>
      </c>
      <c r="Q153" t="s">
        <v>27</v>
      </c>
      <c r="R153" s="3">
        <v>36</v>
      </c>
      <c r="T153" t="s">
        <v>39</v>
      </c>
      <c r="U153" t="s">
        <v>202</v>
      </c>
    </row>
    <row r="154" spans="1:21" x14ac:dyDescent="0.3">
      <c r="A154" t="s">
        <v>238</v>
      </c>
      <c r="B154" t="s">
        <v>238</v>
      </c>
      <c r="C154" t="s">
        <v>45</v>
      </c>
      <c r="D154">
        <v>30</v>
      </c>
      <c r="E154">
        <v>11</v>
      </c>
      <c r="F154">
        <v>117</v>
      </c>
      <c r="G154">
        <f>43112+5000+1000+218+100+10+50+21+802+10+3</f>
        <v>50326</v>
      </c>
      <c r="H154">
        <v>250</v>
      </c>
      <c r="I154">
        <v>19</v>
      </c>
      <c r="J154">
        <f>3+15+5+1+32+7+20+41+150+78+99+50+5+1+6+6+50+491+34</f>
        <v>1094</v>
      </c>
      <c r="K154">
        <v>26</v>
      </c>
      <c r="L154">
        <v>183.5</v>
      </c>
      <c r="M154">
        <v>1000</v>
      </c>
      <c r="N154" s="2">
        <v>45629</v>
      </c>
      <c r="O154" s="2">
        <v>47728</v>
      </c>
      <c r="P154" s="2">
        <v>45629</v>
      </c>
      <c r="Q154" t="s">
        <v>27</v>
      </c>
      <c r="R154" s="3">
        <v>9</v>
      </c>
      <c r="T154" t="s">
        <v>39</v>
      </c>
      <c r="U154" t="s">
        <v>202</v>
      </c>
    </row>
    <row r="155" spans="1:21" x14ac:dyDescent="0.3">
      <c r="A155" t="s">
        <v>257</v>
      </c>
      <c r="B155" t="s">
        <v>30</v>
      </c>
      <c r="C155" t="s">
        <v>45</v>
      </c>
      <c r="D155">
        <v>6</v>
      </c>
      <c r="E155">
        <v>6</v>
      </c>
      <c r="F155">
        <v>1111</v>
      </c>
      <c r="G155">
        <f>110+111+50+555+45+111</f>
        <v>982</v>
      </c>
      <c r="H155">
        <v>0</v>
      </c>
      <c r="I155">
        <v>0</v>
      </c>
      <c r="J155">
        <v>0</v>
      </c>
      <c r="K155">
        <v>24</v>
      </c>
      <c r="L155">
        <v>1111</v>
      </c>
      <c r="M155">
        <v>1000</v>
      </c>
      <c r="N155" s="2">
        <v>45625</v>
      </c>
      <c r="O155" s="2">
        <v>46720</v>
      </c>
      <c r="P155" s="2">
        <v>45625</v>
      </c>
      <c r="Q155" t="s">
        <v>27</v>
      </c>
      <c r="R155" s="3">
        <v>36</v>
      </c>
      <c r="T155" t="s">
        <v>40</v>
      </c>
      <c r="U155" t="s">
        <v>202</v>
      </c>
    </row>
    <row r="156" spans="1:21" x14ac:dyDescent="0.3">
      <c r="A156" t="s">
        <v>258</v>
      </c>
      <c r="B156" t="s">
        <v>30</v>
      </c>
      <c r="C156" t="s">
        <v>45</v>
      </c>
      <c r="D156">
        <v>8</v>
      </c>
      <c r="E156">
        <v>8</v>
      </c>
      <c r="F156">
        <v>1300</v>
      </c>
      <c r="G156">
        <f>11+105+545+250+41+3+9+100</f>
        <v>1064</v>
      </c>
      <c r="H156">
        <v>0</v>
      </c>
      <c r="I156">
        <v>0</v>
      </c>
      <c r="J156">
        <v>0</v>
      </c>
      <c r="K156">
        <v>26</v>
      </c>
      <c r="L156">
        <v>1224</v>
      </c>
      <c r="M156">
        <v>1000</v>
      </c>
      <c r="N156" s="2">
        <v>45619</v>
      </c>
      <c r="O156" s="2">
        <v>46713</v>
      </c>
      <c r="P156" s="2">
        <v>45621</v>
      </c>
      <c r="Q156" t="s">
        <v>27</v>
      </c>
      <c r="R156" s="3">
        <v>36</v>
      </c>
      <c r="T156" t="s">
        <v>40</v>
      </c>
      <c r="U156" t="s">
        <v>202</v>
      </c>
    </row>
    <row r="157" spans="1:21" x14ac:dyDescent="0.3">
      <c r="A157" t="s">
        <v>259</v>
      </c>
      <c r="B157" t="s">
        <v>30</v>
      </c>
      <c r="C157" t="s">
        <v>45</v>
      </c>
      <c r="D157">
        <v>10</v>
      </c>
      <c r="E157">
        <v>10</v>
      </c>
      <c r="F157">
        <v>1111</v>
      </c>
      <c r="G157">
        <f>10+238+50+555+3+2+273+1+40+45</f>
        <v>1217</v>
      </c>
      <c r="H157">
        <v>0</v>
      </c>
      <c r="I157">
        <v>0</v>
      </c>
      <c r="J157">
        <v>0</v>
      </c>
      <c r="K157">
        <v>24</v>
      </c>
      <c r="L157">
        <v>1111</v>
      </c>
      <c r="M157">
        <v>1000</v>
      </c>
      <c r="N157" s="2">
        <v>45618</v>
      </c>
      <c r="O157" s="2">
        <v>46713</v>
      </c>
      <c r="P157" s="2">
        <v>45618</v>
      </c>
      <c r="Q157" t="s">
        <v>27</v>
      </c>
      <c r="R157" s="3">
        <v>36</v>
      </c>
      <c r="T157" t="s">
        <v>40</v>
      </c>
      <c r="U157" t="s">
        <v>202</v>
      </c>
    </row>
    <row r="158" spans="1:21" x14ac:dyDescent="0.3">
      <c r="A158" t="s">
        <v>260</v>
      </c>
      <c r="B158" t="s">
        <v>30</v>
      </c>
      <c r="C158" t="s">
        <v>45</v>
      </c>
      <c r="D158">
        <v>9</v>
      </c>
      <c r="E158">
        <v>9</v>
      </c>
      <c r="F158">
        <v>1200</v>
      </c>
      <c r="G158">
        <f>112+1015+1641+1+1+47+1+555+43</f>
        <v>3416</v>
      </c>
      <c r="H158">
        <v>0</v>
      </c>
      <c r="I158">
        <v>0</v>
      </c>
      <c r="J158">
        <v>0</v>
      </c>
      <c r="K158">
        <v>26.3</v>
      </c>
      <c r="L158">
        <v>1200</v>
      </c>
      <c r="M158">
        <v>1000</v>
      </c>
      <c r="N158" s="2">
        <v>45609</v>
      </c>
      <c r="O158" s="2">
        <v>46155</v>
      </c>
      <c r="P158" s="2">
        <v>45609</v>
      </c>
      <c r="Q158" t="s">
        <v>27</v>
      </c>
      <c r="R158" s="3">
        <v>18</v>
      </c>
      <c r="T158" t="s">
        <v>40</v>
      </c>
      <c r="U158" t="s">
        <v>202</v>
      </c>
    </row>
    <row r="159" spans="1:21" x14ac:dyDescent="0.3">
      <c r="A159" t="s">
        <v>261</v>
      </c>
      <c r="B159" t="s">
        <v>262</v>
      </c>
      <c r="C159" t="s">
        <v>45</v>
      </c>
      <c r="D159">
        <v>6</v>
      </c>
      <c r="E159">
        <v>3</v>
      </c>
      <c r="F159">
        <v>200</v>
      </c>
      <c r="G159">
        <f>501+5+540</f>
        <v>1046</v>
      </c>
      <c r="H159">
        <v>204</v>
      </c>
      <c r="I159">
        <v>3</v>
      </c>
      <c r="J159">
        <f>71+702+7</f>
        <v>780</v>
      </c>
      <c r="K159">
        <v>25.5</v>
      </c>
      <c r="L159">
        <v>202</v>
      </c>
      <c r="M159">
        <v>200</v>
      </c>
      <c r="N159" s="2">
        <v>45609</v>
      </c>
      <c r="O159" s="2">
        <v>46154</v>
      </c>
      <c r="P159" s="2">
        <v>45609</v>
      </c>
      <c r="Q159" t="s">
        <v>27</v>
      </c>
      <c r="R159" s="3">
        <v>18</v>
      </c>
      <c r="T159" t="s">
        <v>39</v>
      </c>
      <c r="U159" t="s">
        <v>263</v>
      </c>
    </row>
    <row r="160" spans="1:21" x14ac:dyDescent="0.3">
      <c r="A160" t="s">
        <v>264</v>
      </c>
      <c r="B160" t="s">
        <v>30</v>
      </c>
      <c r="C160" t="s">
        <v>45</v>
      </c>
      <c r="D160">
        <v>12</v>
      </c>
      <c r="E160">
        <v>12</v>
      </c>
      <c r="F160">
        <v>1013</v>
      </c>
      <c r="G160">
        <f>110+1130+212+114+55+50+1+1+1+1+1+10</f>
        <v>1686</v>
      </c>
      <c r="H160">
        <v>0</v>
      </c>
      <c r="I160">
        <v>0</v>
      </c>
      <c r="J160">
        <v>0</v>
      </c>
      <c r="K160">
        <v>23.67</v>
      </c>
      <c r="L160">
        <v>1013</v>
      </c>
      <c r="M160">
        <v>1000</v>
      </c>
      <c r="N160" s="2">
        <v>45605</v>
      </c>
      <c r="O160" s="2">
        <v>46699</v>
      </c>
      <c r="P160" s="2">
        <v>45607</v>
      </c>
      <c r="Q160" t="s">
        <v>27</v>
      </c>
      <c r="R160" s="3">
        <v>36</v>
      </c>
      <c r="T160" t="s">
        <v>40</v>
      </c>
      <c r="U160" t="s">
        <v>202</v>
      </c>
    </row>
    <row r="161" spans="1:21" x14ac:dyDescent="0.3">
      <c r="A161" t="s">
        <v>265</v>
      </c>
      <c r="B161" t="s">
        <v>30</v>
      </c>
      <c r="C161" t="s">
        <v>45</v>
      </c>
      <c r="D161">
        <v>8</v>
      </c>
      <c r="E161">
        <v>8</v>
      </c>
      <c r="F161">
        <v>1200</v>
      </c>
      <c r="G161">
        <f>121+1041+1000+1162+200+555+555+542</f>
        <v>5176</v>
      </c>
      <c r="H161">
        <v>0</v>
      </c>
      <c r="I161">
        <v>0</v>
      </c>
      <c r="J161">
        <v>0</v>
      </c>
      <c r="K161">
        <v>26.1</v>
      </c>
      <c r="L161">
        <v>1200</v>
      </c>
      <c r="M161">
        <v>1000</v>
      </c>
      <c r="N161" s="2">
        <v>45605</v>
      </c>
      <c r="O161" s="2">
        <v>46335</v>
      </c>
      <c r="P161" s="2">
        <v>45607</v>
      </c>
      <c r="Q161" t="s">
        <v>27</v>
      </c>
      <c r="R161" s="3">
        <v>24</v>
      </c>
      <c r="T161" t="s">
        <v>40</v>
      </c>
      <c r="U161" t="s">
        <v>202</v>
      </c>
    </row>
    <row r="162" spans="1:21" x14ac:dyDescent="0.3">
      <c r="A162" t="s">
        <v>266</v>
      </c>
      <c r="B162" t="s">
        <v>30</v>
      </c>
      <c r="C162" t="s">
        <v>45</v>
      </c>
      <c r="D162">
        <v>9</v>
      </c>
      <c r="E162">
        <v>9</v>
      </c>
      <c r="F162">
        <v>1006</v>
      </c>
      <c r="G162">
        <f>111+1130+212+605+555+50+50+120+3</f>
        <v>2836</v>
      </c>
      <c r="H162">
        <v>0</v>
      </c>
      <c r="I162">
        <v>0</v>
      </c>
      <c r="J162">
        <v>0</v>
      </c>
      <c r="K162">
        <v>23.34</v>
      </c>
      <c r="L162">
        <v>1006</v>
      </c>
      <c r="M162">
        <v>1000</v>
      </c>
      <c r="N162" s="2">
        <v>45597</v>
      </c>
      <c r="O162" s="2">
        <v>46689</v>
      </c>
      <c r="P162" s="2">
        <v>45597</v>
      </c>
      <c r="Q162" t="s">
        <v>27</v>
      </c>
      <c r="R162" s="3">
        <v>36</v>
      </c>
      <c r="T162" t="s">
        <v>40</v>
      </c>
      <c r="U162" t="s">
        <v>202</v>
      </c>
    </row>
    <row r="163" spans="1:21" x14ac:dyDescent="0.3">
      <c r="A163" t="s">
        <v>267</v>
      </c>
      <c r="B163" t="s">
        <v>268</v>
      </c>
      <c r="C163" t="s">
        <v>45</v>
      </c>
      <c r="D163">
        <v>15</v>
      </c>
      <c r="E163">
        <v>5</v>
      </c>
      <c r="F163">
        <v>105</v>
      </c>
      <c r="G163">
        <f>477+105+15+4+30</f>
        <v>631</v>
      </c>
      <c r="H163">
        <v>305</v>
      </c>
      <c r="I163">
        <v>10</v>
      </c>
      <c r="J163">
        <f>8+1+1+1+2+2+2+10+10+1</f>
        <v>38</v>
      </c>
      <c r="K163">
        <v>20.5</v>
      </c>
      <c r="L163">
        <v>205</v>
      </c>
      <c r="M163">
        <v>1000</v>
      </c>
      <c r="N163" s="2">
        <v>45469</v>
      </c>
      <c r="O163" s="2">
        <v>47660</v>
      </c>
      <c r="P163" s="2">
        <v>45470</v>
      </c>
      <c r="Q163" t="s">
        <v>27</v>
      </c>
      <c r="R163" s="3">
        <v>12</v>
      </c>
      <c r="T163" t="s">
        <v>39</v>
      </c>
      <c r="U163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226A-80CB-4A5B-85DE-7DC7DDA2BB7E}">
  <dimension ref="A1:T26"/>
  <sheetViews>
    <sheetView zoomScale="70" zoomScaleNormal="85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B12" sqref="A1:T26"/>
    </sheetView>
  </sheetViews>
  <sheetFormatPr defaultRowHeight="14.4" x14ac:dyDescent="0.3"/>
  <cols>
    <col min="1" max="1" width="18.5546875" bestFit="1" customWidth="1"/>
    <col min="2" max="2" width="41.109375" bestFit="1" customWidth="1"/>
    <col min="3" max="3" width="9.6640625" bestFit="1" customWidth="1"/>
    <col min="4" max="4" width="15.88671875" bestFit="1" customWidth="1"/>
    <col min="5" max="5" width="28.33203125" bestFit="1" customWidth="1"/>
    <col min="7" max="7" width="18.6640625" bestFit="1" customWidth="1"/>
    <col min="9" max="9" width="29.21875" bestFit="1" customWidth="1"/>
    <col min="10" max="10" width="17.5546875" bestFit="1" customWidth="1"/>
    <col min="11" max="11" width="10.21875" customWidth="1"/>
    <col min="12" max="12" width="10.33203125" bestFit="1" customWidth="1"/>
    <col min="14" max="14" width="19.44140625" bestFit="1" customWidth="1"/>
    <col min="15" max="15" width="12.5546875" bestFit="1" customWidth="1"/>
    <col min="16" max="16" width="15.109375" bestFit="1" customWidth="1"/>
    <col min="17" max="17" width="20.6640625" bestFit="1" customWidth="1"/>
    <col min="18" max="18" width="34.33203125" bestFit="1" customWidth="1"/>
    <col min="19" max="19" width="27" bestFit="1" customWidth="1"/>
    <col min="20" max="20" width="20" bestFit="1" customWidth="1"/>
  </cols>
  <sheetData>
    <row r="1" spans="1:20" x14ac:dyDescent="0.3">
      <c r="A1" t="s">
        <v>0</v>
      </c>
      <c r="B1" t="s">
        <v>1</v>
      </c>
      <c r="C1" t="s">
        <v>44</v>
      </c>
      <c r="D1" t="s">
        <v>2</v>
      </c>
      <c r="E1" t="s">
        <v>4</v>
      </c>
      <c r="F1" t="s">
        <v>100</v>
      </c>
      <c r="G1" t="s">
        <v>24</v>
      </c>
      <c r="H1" t="s">
        <v>101</v>
      </c>
      <c r="I1" t="s">
        <v>3</v>
      </c>
      <c r="J1" t="s">
        <v>279</v>
      </c>
      <c r="K1" t="s">
        <v>5</v>
      </c>
      <c r="L1" t="s">
        <v>31</v>
      </c>
      <c r="M1" t="s">
        <v>6</v>
      </c>
      <c r="N1" t="s">
        <v>271</v>
      </c>
      <c r="O1" t="s">
        <v>53</v>
      </c>
      <c r="P1" t="s">
        <v>42</v>
      </c>
      <c r="Q1" s="3" t="s">
        <v>37</v>
      </c>
      <c r="R1" s="3" t="s">
        <v>48</v>
      </c>
      <c r="S1" t="s">
        <v>38</v>
      </c>
      <c r="T1" t="s">
        <v>32</v>
      </c>
    </row>
    <row r="2" spans="1:20" x14ac:dyDescent="0.3">
      <c r="A2" t="s">
        <v>269</v>
      </c>
      <c r="B2" t="s">
        <v>272</v>
      </c>
      <c r="C2" t="s">
        <v>270</v>
      </c>
      <c r="D2">
        <v>38</v>
      </c>
      <c r="E2">
        <v>18</v>
      </c>
      <c r="F2">
        <v>1026.02</v>
      </c>
      <c r="G2">
        <f>2+2+9+1+1+3+5+20+1+1+2+50+1+6+25+5+25+1</f>
        <v>160</v>
      </c>
      <c r="H2">
        <v>1031.97</v>
      </c>
      <c r="I2">
        <v>20</v>
      </c>
      <c r="J2">
        <f>1+2+1+1+10+8+20+5+1+8+7+128+20+5+7+6+5+6+20+15</f>
        <v>276</v>
      </c>
      <c r="K2">
        <v>19.5</v>
      </c>
      <c r="L2">
        <v>1031.97</v>
      </c>
      <c r="M2">
        <v>1000</v>
      </c>
      <c r="N2" s="1">
        <v>100000</v>
      </c>
      <c r="O2" s="2">
        <v>46072</v>
      </c>
      <c r="P2" s="2">
        <v>46437</v>
      </c>
      <c r="Q2">
        <v>12</v>
      </c>
      <c r="R2">
        <v>4.8</v>
      </c>
      <c r="S2" t="s">
        <v>39</v>
      </c>
      <c r="T2" t="s">
        <v>59</v>
      </c>
    </row>
    <row r="3" spans="1:20" x14ac:dyDescent="0.3">
      <c r="A3" t="s">
        <v>273</v>
      </c>
      <c r="B3" t="s">
        <v>274</v>
      </c>
      <c r="C3" t="s">
        <v>270</v>
      </c>
      <c r="D3">
        <v>40</v>
      </c>
      <c r="E3">
        <v>20</v>
      </c>
      <c r="F3">
        <v>1007</v>
      </c>
      <c r="G3">
        <f>54+19+103+12+3+2+1+1+15+5+105+7+82+6+6+75+5+13+2+4</f>
        <v>520</v>
      </c>
      <c r="H3">
        <v>1014.01</v>
      </c>
      <c r="I3">
        <v>20</v>
      </c>
      <c r="J3">
        <f>3+38+27+12+65+87+45+49+5+20+1+368+48+20+10+137+107+147+10+49</f>
        <v>1248</v>
      </c>
      <c r="K3">
        <v>19.25</v>
      </c>
      <c r="L3">
        <v>1012</v>
      </c>
      <c r="M3">
        <v>1000</v>
      </c>
      <c r="N3" s="1">
        <v>500000</v>
      </c>
      <c r="O3" s="2">
        <v>46498</v>
      </c>
      <c r="P3" s="2">
        <v>46499</v>
      </c>
      <c r="Q3">
        <v>12</v>
      </c>
      <c r="R3">
        <v>19.25</v>
      </c>
      <c r="S3" t="s">
        <v>39</v>
      </c>
      <c r="T3" t="s">
        <v>169</v>
      </c>
    </row>
    <row r="4" spans="1:20" x14ac:dyDescent="0.3">
      <c r="A4" t="s">
        <v>275</v>
      </c>
      <c r="B4" t="s">
        <v>276</v>
      </c>
      <c r="C4" t="s">
        <v>270</v>
      </c>
      <c r="D4">
        <v>40</v>
      </c>
      <c r="E4">
        <v>20</v>
      </c>
      <c r="F4">
        <v>1007</v>
      </c>
      <c r="G4">
        <f>87+1+1+2+2+49+211+61+20+1+8+3+1+7+5+25+20+3+20+1</f>
        <v>528</v>
      </c>
      <c r="H4">
        <v>1010</v>
      </c>
      <c r="I4">
        <v>20</v>
      </c>
      <c r="J4">
        <f>50+120+23+6+47+51+68+2+3+10+242+127+3+30+1+3+4+2+1+347</f>
        <v>1140</v>
      </c>
      <c r="K4">
        <v>18</v>
      </c>
      <c r="L4">
        <v>1010</v>
      </c>
      <c r="M4">
        <v>1000</v>
      </c>
      <c r="N4" s="1">
        <v>1000000</v>
      </c>
      <c r="O4" s="2">
        <v>46098</v>
      </c>
      <c r="P4" s="2">
        <v>46465</v>
      </c>
      <c r="Q4">
        <v>12</v>
      </c>
      <c r="R4">
        <v>5.42</v>
      </c>
      <c r="S4" t="s">
        <v>39</v>
      </c>
      <c r="T4" t="s">
        <v>277</v>
      </c>
    </row>
    <row r="5" spans="1:20" x14ac:dyDescent="0.3">
      <c r="A5" t="s">
        <v>278</v>
      </c>
      <c r="B5" t="s">
        <v>181</v>
      </c>
      <c r="C5" t="s">
        <v>270</v>
      </c>
      <c r="D5">
        <v>38</v>
      </c>
      <c r="E5">
        <v>20</v>
      </c>
      <c r="F5">
        <v>1028.68</v>
      </c>
      <c r="G5">
        <f>1+100+45+3+1+4+10+1+8+1+1+1+14+12+5+35+30+9+1+1</f>
        <v>283</v>
      </c>
      <c r="H5">
        <v>1028.7</v>
      </c>
      <c r="I5">
        <v>18</v>
      </c>
      <c r="J5">
        <f>368+1+55+8+10+5+500+20+1+550+1+12+8+501+10+102+50+2</f>
        <v>2204</v>
      </c>
      <c r="K5">
        <v>20.5</v>
      </c>
      <c r="L5">
        <v>1028.7</v>
      </c>
      <c r="M5">
        <v>1000</v>
      </c>
      <c r="N5" s="1">
        <v>300000</v>
      </c>
      <c r="O5" s="2">
        <v>45986</v>
      </c>
      <c r="P5" s="2">
        <v>46349</v>
      </c>
      <c r="Q5">
        <v>12</v>
      </c>
      <c r="R5">
        <v>5.05</v>
      </c>
      <c r="S5" t="s">
        <v>39</v>
      </c>
      <c r="T5" t="s">
        <v>59</v>
      </c>
    </row>
    <row r="6" spans="1:20" x14ac:dyDescent="0.3">
      <c r="A6" t="s">
        <v>293</v>
      </c>
      <c r="B6" t="s">
        <v>181</v>
      </c>
      <c r="C6" t="s">
        <v>270</v>
      </c>
      <c r="D6">
        <v>29</v>
      </c>
      <c r="E6">
        <v>9</v>
      </c>
      <c r="F6">
        <v>1037.8499999999999</v>
      </c>
      <c r="G6">
        <f>2+1+1+5+2+2+9+4+6</f>
        <v>32</v>
      </c>
      <c r="H6">
        <v>1044.78</v>
      </c>
      <c r="I6">
        <v>20</v>
      </c>
      <c r="J6">
        <f>2+1+3+2+155+23+1+109+171+3+1+1+1+1+21+3+5+30+5+400</f>
        <v>938</v>
      </c>
      <c r="K6">
        <v>20.5</v>
      </c>
      <c r="L6">
        <v>1037.8499999999999</v>
      </c>
      <c r="M6">
        <v>1000</v>
      </c>
      <c r="N6" s="1">
        <v>100000</v>
      </c>
      <c r="O6" s="2">
        <v>46104</v>
      </c>
      <c r="P6" s="2">
        <v>46381</v>
      </c>
      <c r="Q6">
        <v>8</v>
      </c>
      <c r="R6">
        <v>2.8</v>
      </c>
      <c r="S6" t="s">
        <v>39</v>
      </c>
      <c r="T6" t="s">
        <v>59</v>
      </c>
    </row>
    <row r="7" spans="1:20" x14ac:dyDescent="0.3">
      <c r="A7" t="s">
        <v>292</v>
      </c>
      <c r="B7" t="s">
        <v>181</v>
      </c>
      <c r="C7" t="s">
        <v>270</v>
      </c>
      <c r="D7">
        <v>27</v>
      </c>
      <c r="E7">
        <v>19</v>
      </c>
      <c r="F7">
        <v>1032.54</v>
      </c>
      <c r="G7">
        <f>10+6+1+2+1+3+10+20+50+1+7+1+1+80+1+5+7+4+10</f>
        <v>220</v>
      </c>
      <c r="H7">
        <v>1050</v>
      </c>
      <c r="I7">
        <v>8</v>
      </c>
      <c r="J7">
        <f>67+46+27+5+32+52+30+2</f>
        <v>261</v>
      </c>
      <c r="K7">
        <v>20.5</v>
      </c>
      <c r="L7">
        <v>1050</v>
      </c>
      <c r="M7">
        <v>1000</v>
      </c>
      <c r="N7" s="1">
        <v>100000</v>
      </c>
      <c r="O7" s="2">
        <v>46125</v>
      </c>
      <c r="P7" s="2">
        <v>46402</v>
      </c>
      <c r="Q7">
        <v>9</v>
      </c>
      <c r="R7">
        <v>11.79</v>
      </c>
      <c r="S7" t="s">
        <v>39</v>
      </c>
      <c r="T7" t="s">
        <v>59</v>
      </c>
    </row>
    <row r="8" spans="1:20" x14ac:dyDescent="0.3">
      <c r="A8" t="s">
        <v>280</v>
      </c>
      <c r="B8" t="s">
        <v>281</v>
      </c>
      <c r="C8" t="s">
        <v>270</v>
      </c>
      <c r="D8">
        <v>40</v>
      </c>
      <c r="E8">
        <v>20</v>
      </c>
      <c r="F8">
        <v>1012</v>
      </c>
      <c r="G8">
        <f>1+3+1+1+2+51+50+5+4+15+11+10+4+13+25+11+25+25+1+1</f>
        <v>259</v>
      </c>
      <c r="H8">
        <v>1016.4</v>
      </c>
      <c r="I8">
        <v>20</v>
      </c>
      <c r="J8">
        <f>11+1+10+23+5+1+15+4+1+1+2+17+1+10+54+10+1+5+3+5</f>
        <v>180</v>
      </c>
      <c r="K8">
        <v>18.5</v>
      </c>
      <c r="L8">
        <v>1016.4</v>
      </c>
      <c r="M8">
        <v>1000</v>
      </c>
      <c r="N8" s="1">
        <v>500000</v>
      </c>
      <c r="O8" s="2">
        <v>46002</v>
      </c>
      <c r="P8" s="2">
        <v>46370</v>
      </c>
      <c r="Q8">
        <v>12</v>
      </c>
      <c r="R8">
        <v>9.1199999999999992</v>
      </c>
      <c r="S8" t="s">
        <v>39</v>
      </c>
      <c r="T8" t="s">
        <v>59</v>
      </c>
    </row>
    <row r="9" spans="1:20" x14ac:dyDescent="0.3">
      <c r="A9" t="s">
        <v>282</v>
      </c>
      <c r="B9" t="s">
        <v>283</v>
      </c>
      <c r="C9" t="s">
        <v>270</v>
      </c>
      <c r="D9">
        <v>40</v>
      </c>
      <c r="E9">
        <v>20</v>
      </c>
      <c r="F9">
        <v>1026.5999999999999</v>
      </c>
      <c r="G9">
        <f>1+5+3+2+2+1+25+5+1+6+6+1+2+7+1+1+50+102+2+2</f>
        <v>225</v>
      </c>
      <c r="H9">
        <v>1037.22</v>
      </c>
      <c r="I9">
        <v>20</v>
      </c>
      <c r="J9">
        <f>4+5+4+12+5+58+100+21+100+1+3+20+100+76+342+30+20</f>
        <v>901</v>
      </c>
      <c r="K9">
        <v>20</v>
      </c>
      <c r="L9">
        <v>1037.23</v>
      </c>
      <c r="M9">
        <v>1000</v>
      </c>
      <c r="N9" s="1">
        <v>200000</v>
      </c>
      <c r="O9" s="2">
        <v>45967</v>
      </c>
      <c r="P9" s="2">
        <v>46335</v>
      </c>
      <c r="Q9">
        <v>12</v>
      </c>
      <c r="R9">
        <v>13.15</v>
      </c>
      <c r="S9" t="s">
        <v>39</v>
      </c>
      <c r="T9" t="s">
        <v>277</v>
      </c>
    </row>
    <row r="10" spans="1:20" x14ac:dyDescent="0.3">
      <c r="A10" t="s">
        <v>291</v>
      </c>
      <c r="B10" t="s">
        <v>283</v>
      </c>
      <c r="C10" t="s">
        <v>270</v>
      </c>
      <c r="D10">
        <v>28</v>
      </c>
      <c r="E10">
        <v>8</v>
      </c>
      <c r="F10">
        <v>1037.8499999999999</v>
      </c>
      <c r="G10">
        <f>5+8+9+2+2+5+1</f>
        <v>32</v>
      </c>
      <c r="H10">
        <v>1044.78</v>
      </c>
      <c r="I10">
        <v>20</v>
      </c>
      <c r="J10">
        <f>1+3+2+155+23+1+109+171+3+4+21+3+5+30+5+300</f>
        <v>836</v>
      </c>
      <c r="K10">
        <v>20.5</v>
      </c>
      <c r="L10">
        <v>1037.8499999999999</v>
      </c>
      <c r="M10">
        <v>1000</v>
      </c>
      <c r="N10" s="1">
        <v>100000</v>
      </c>
      <c r="O10" s="2">
        <v>46104</v>
      </c>
      <c r="P10" s="2">
        <v>46381</v>
      </c>
      <c r="Q10">
        <v>9</v>
      </c>
      <c r="R10">
        <v>3.36</v>
      </c>
      <c r="S10" t="s">
        <v>39</v>
      </c>
      <c r="T10" t="s">
        <v>59</v>
      </c>
    </row>
    <row r="11" spans="1:20" x14ac:dyDescent="0.3">
      <c r="A11" t="s">
        <v>284</v>
      </c>
      <c r="B11" t="s">
        <v>283</v>
      </c>
      <c r="C11" t="s">
        <v>270</v>
      </c>
      <c r="D11">
        <v>40</v>
      </c>
      <c r="E11">
        <v>20</v>
      </c>
      <c r="F11">
        <v>1001</v>
      </c>
      <c r="G11">
        <f>1+1+86+382+11+11+2+6+1+9+64+43+5+3+1+1+2+1+1+1</f>
        <v>632</v>
      </c>
      <c r="H11">
        <v>1003.97</v>
      </c>
      <c r="I11">
        <v>20</v>
      </c>
      <c r="J11">
        <f>7+30+255+123+30+56+147+10+193+5+10+25+21+5+7+88+24+5+66+58</f>
        <v>1165</v>
      </c>
      <c r="K11">
        <v>18.5</v>
      </c>
      <c r="L11">
        <v>1003.99</v>
      </c>
      <c r="M11">
        <v>1000</v>
      </c>
      <c r="N11" s="1">
        <v>1200000</v>
      </c>
      <c r="O11" s="2">
        <v>45931</v>
      </c>
      <c r="P11" s="2">
        <v>46297</v>
      </c>
      <c r="Q11">
        <v>12</v>
      </c>
      <c r="R11">
        <v>0.5</v>
      </c>
      <c r="S11" t="s">
        <v>39</v>
      </c>
      <c r="T11" t="s">
        <v>158</v>
      </c>
    </row>
    <row r="12" spans="1:20" x14ac:dyDescent="0.3">
      <c r="A12" t="s">
        <v>285</v>
      </c>
      <c r="B12" t="s">
        <v>286</v>
      </c>
      <c r="C12" t="s">
        <v>270</v>
      </c>
      <c r="D12">
        <v>40</v>
      </c>
      <c r="E12">
        <v>20</v>
      </c>
      <c r="F12">
        <v>1011.29</v>
      </c>
      <c r="G12">
        <f>1+125+44+5+5+9+1+50+3+3+4+3+14+5+1+3+39+25+10+1</f>
        <v>351</v>
      </c>
      <c r="H12">
        <v>1020.93</v>
      </c>
      <c r="I12">
        <v>20</v>
      </c>
      <c r="J12">
        <f>7+9+395+10+70+10+100+100+70+3+6+20+1839+1+10+26+22+10+1+31</f>
        <v>2740</v>
      </c>
      <c r="K12">
        <v>24.5</v>
      </c>
      <c r="L12">
        <v>1020.93</v>
      </c>
      <c r="M12">
        <v>1000</v>
      </c>
      <c r="N12" s="1">
        <v>500000</v>
      </c>
      <c r="O12" s="2">
        <v>45826</v>
      </c>
      <c r="P12" s="2">
        <v>46195</v>
      </c>
      <c r="Q12">
        <v>12</v>
      </c>
      <c r="R12">
        <v>9.39</v>
      </c>
      <c r="S12" t="s">
        <v>39</v>
      </c>
      <c r="T12" t="s">
        <v>287</v>
      </c>
    </row>
    <row r="13" spans="1:20" x14ac:dyDescent="0.3">
      <c r="A13" t="s">
        <v>290</v>
      </c>
      <c r="B13" t="s">
        <v>286</v>
      </c>
      <c r="C13" t="s">
        <v>270</v>
      </c>
      <c r="D13">
        <v>40</v>
      </c>
      <c r="E13">
        <v>20</v>
      </c>
      <c r="F13">
        <v>1012.62</v>
      </c>
      <c r="G13">
        <f>1+20+2+46+10+10+50+10+11+5+54+1+2+34+1+1+11+1+1+1</f>
        <v>272</v>
      </c>
      <c r="H13">
        <v>1018.99</v>
      </c>
      <c r="I13">
        <v>20</v>
      </c>
      <c r="J13">
        <f>2+475+1+1+1+70+30+3+85+1+2+5+1+7+208+50+158+1078+2+27</f>
        <v>2207</v>
      </c>
      <c r="K13">
        <v>21</v>
      </c>
      <c r="L13">
        <v>1019</v>
      </c>
      <c r="M13">
        <v>1000</v>
      </c>
      <c r="N13" s="1">
        <v>750000</v>
      </c>
      <c r="O13" s="2">
        <v>45888</v>
      </c>
      <c r="P13" s="2">
        <v>46346</v>
      </c>
      <c r="Q13">
        <v>15</v>
      </c>
      <c r="R13">
        <v>6.32</v>
      </c>
      <c r="S13" t="s">
        <v>39</v>
      </c>
      <c r="T13" t="s">
        <v>287</v>
      </c>
    </row>
    <row r="14" spans="1:20" x14ac:dyDescent="0.3">
      <c r="A14" t="s">
        <v>14</v>
      </c>
      <c r="B14" t="s">
        <v>288</v>
      </c>
      <c r="C14" t="s">
        <v>270</v>
      </c>
      <c r="D14">
        <v>40</v>
      </c>
      <c r="E14">
        <v>20</v>
      </c>
      <c r="F14">
        <v>1003</v>
      </c>
      <c r="G14">
        <f>2+29+3+6+7+1+12+42+5+2+1+1+1+1+104+1+1+60+1+2</f>
        <v>282</v>
      </c>
      <c r="H14">
        <v>1006.35</v>
      </c>
      <c r="I14">
        <v>20</v>
      </c>
      <c r="J14">
        <f>1+16+92+2+3+20+10+10+20+5+11+8+8+10+16+42+14+50+222+10</f>
        <v>570</v>
      </c>
      <c r="K14">
        <v>19</v>
      </c>
      <c r="L14">
        <v>1006.34</v>
      </c>
      <c r="M14">
        <v>1000</v>
      </c>
      <c r="N14" s="1">
        <v>300000</v>
      </c>
      <c r="O14" s="2">
        <v>45981</v>
      </c>
      <c r="P14" s="2">
        <v>46169</v>
      </c>
      <c r="Q14">
        <v>6</v>
      </c>
      <c r="R14">
        <v>5.2</v>
      </c>
      <c r="S14" t="s">
        <v>39</v>
      </c>
      <c r="T14" t="s">
        <v>277</v>
      </c>
    </row>
    <row r="15" spans="1:20" x14ac:dyDescent="0.3">
      <c r="A15" t="s">
        <v>289</v>
      </c>
      <c r="B15" t="s">
        <v>288</v>
      </c>
      <c r="C15" t="s">
        <v>270</v>
      </c>
      <c r="D15">
        <v>33</v>
      </c>
      <c r="E15">
        <v>13</v>
      </c>
      <c r="F15">
        <v>1008</v>
      </c>
      <c r="G15">
        <f>1+62+13+9+5+4+5+5+26+1+1+15+20</f>
        <v>167</v>
      </c>
      <c r="H15">
        <v>1010.38</v>
      </c>
      <c r="I15">
        <v>20</v>
      </c>
      <c r="J15">
        <f>28+23+15+1+1+7+9+11+1+1+1+1+7+91+24+2+1+25+10+37</f>
        <v>296</v>
      </c>
      <c r="K15">
        <v>19</v>
      </c>
      <c r="L15">
        <v>1010.41</v>
      </c>
      <c r="M15">
        <v>1000</v>
      </c>
      <c r="N15" s="1">
        <v>151400</v>
      </c>
      <c r="O15" s="2">
        <v>45993</v>
      </c>
      <c r="P15" s="2">
        <v>46174</v>
      </c>
      <c r="Q15">
        <v>6</v>
      </c>
      <c r="R15">
        <v>1.56</v>
      </c>
      <c r="S15" t="s">
        <v>39</v>
      </c>
      <c r="T15" t="s">
        <v>277</v>
      </c>
    </row>
    <row r="16" spans="1:20" x14ac:dyDescent="0.3">
      <c r="A16" t="s">
        <v>294</v>
      </c>
      <c r="B16" t="s">
        <v>288</v>
      </c>
      <c r="C16" t="s">
        <v>270</v>
      </c>
      <c r="D16">
        <v>40</v>
      </c>
      <c r="E16">
        <v>20</v>
      </c>
      <c r="F16">
        <v>1015.8</v>
      </c>
      <c r="G16">
        <f>1+4+5+5+5+3+3+2+2+5+1+224+1+1+90+57+100+22+1+66</f>
        <v>598</v>
      </c>
      <c r="H16">
        <v>1024.96</v>
      </c>
      <c r="I16">
        <v>20</v>
      </c>
      <c r="J16">
        <f>142+31+9+19+3+3+1+150+15+3+30+101+5+118+20+50+10+53+2500+87</f>
        <v>3350</v>
      </c>
      <c r="K16">
        <v>18</v>
      </c>
      <c r="L16">
        <v>1024.96</v>
      </c>
      <c r="M16">
        <v>1000</v>
      </c>
      <c r="N16" s="1">
        <v>300000</v>
      </c>
      <c r="O16" s="2">
        <v>46084</v>
      </c>
      <c r="P16" s="2">
        <v>46451</v>
      </c>
      <c r="Q16">
        <v>12</v>
      </c>
      <c r="R16">
        <v>13.31</v>
      </c>
      <c r="S16" t="s">
        <v>39</v>
      </c>
      <c r="T16" t="s">
        <v>295</v>
      </c>
    </row>
    <row r="17" spans="1:20" x14ac:dyDescent="0.3">
      <c r="A17" t="s">
        <v>296</v>
      </c>
      <c r="B17" t="s">
        <v>297</v>
      </c>
      <c r="C17" t="s">
        <v>270</v>
      </c>
      <c r="D17">
        <v>40</v>
      </c>
      <c r="E17">
        <v>20</v>
      </c>
      <c r="F17">
        <v>1007.26</v>
      </c>
      <c r="G17">
        <f>1+1+3+1+5+15+2+35+20+1+1+2+1+1+16+11+16+1+32+2</f>
        <v>167</v>
      </c>
      <c r="H17">
        <v>1008.99</v>
      </c>
      <c r="I17">
        <v>20</v>
      </c>
      <c r="J17">
        <f>1+166+26+1+1+1+1+1+1+2+32+11+78+1+7+10+4+2+2+5</f>
        <v>353</v>
      </c>
      <c r="K17">
        <v>19</v>
      </c>
      <c r="L17">
        <v>1009</v>
      </c>
      <c r="M17">
        <v>1000</v>
      </c>
      <c r="N17" s="1">
        <v>100000</v>
      </c>
      <c r="O17" s="2">
        <v>45915</v>
      </c>
      <c r="P17" s="2">
        <v>46279</v>
      </c>
      <c r="Q17">
        <v>12</v>
      </c>
      <c r="R17">
        <v>10.41</v>
      </c>
      <c r="S17" t="s">
        <v>39</v>
      </c>
      <c r="T17" t="s">
        <v>59</v>
      </c>
    </row>
    <row r="18" spans="1:20" x14ac:dyDescent="0.3">
      <c r="A18" t="s">
        <v>298</v>
      </c>
      <c r="B18" t="s">
        <v>297</v>
      </c>
      <c r="C18" t="s">
        <v>270</v>
      </c>
      <c r="D18">
        <v>32</v>
      </c>
      <c r="E18">
        <v>17</v>
      </c>
      <c r="F18">
        <v>1018.51</v>
      </c>
      <c r="G18">
        <f>2+26+2+40+5+3+9+25+1+3+60+10+1+11+9+1+10</f>
        <v>218</v>
      </c>
      <c r="H18">
        <v>1020</v>
      </c>
      <c r="I18">
        <v>15</v>
      </c>
      <c r="J18">
        <f>5+1+2+10+23+50+3+1+2+1+50+62+86+100</f>
        <v>396</v>
      </c>
      <c r="K18">
        <v>20</v>
      </c>
      <c r="L18">
        <v>1018.51</v>
      </c>
      <c r="M18">
        <v>1000</v>
      </c>
      <c r="N18" s="1">
        <v>100000</v>
      </c>
      <c r="O18" s="2">
        <v>45945</v>
      </c>
      <c r="P18" s="2">
        <v>46282</v>
      </c>
      <c r="Q18">
        <v>12</v>
      </c>
      <c r="R18">
        <v>9.31</v>
      </c>
      <c r="S18" t="s">
        <v>39</v>
      </c>
      <c r="T18" t="s">
        <v>59</v>
      </c>
    </row>
    <row r="19" spans="1:20" x14ac:dyDescent="0.3">
      <c r="A19" t="s">
        <v>299</v>
      </c>
      <c r="B19" t="s">
        <v>300</v>
      </c>
      <c r="C19" t="s">
        <v>270</v>
      </c>
      <c r="D19">
        <v>5</v>
      </c>
      <c r="E19">
        <v>5</v>
      </c>
      <c r="F19">
        <v>5950.16</v>
      </c>
      <c r="G19">
        <f>5+1+1+1+1</f>
        <v>9</v>
      </c>
      <c r="H19">
        <v>0</v>
      </c>
      <c r="I19">
        <v>0</v>
      </c>
      <c r="J19">
        <v>0</v>
      </c>
      <c r="K19">
        <v>20</v>
      </c>
      <c r="L19">
        <v>5965</v>
      </c>
      <c r="M19" s="1">
        <v>5000</v>
      </c>
      <c r="N19" s="1">
        <v>4000</v>
      </c>
      <c r="O19" s="2">
        <v>45803</v>
      </c>
      <c r="P19" s="2">
        <v>46885</v>
      </c>
      <c r="Q19">
        <v>36</v>
      </c>
      <c r="S19" t="s">
        <v>233</v>
      </c>
      <c r="T19" t="s">
        <v>59</v>
      </c>
    </row>
    <row r="20" spans="1:20" x14ac:dyDescent="0.3">
      <c r="A20" t="s">
        <v>301</v>
      </c>
      <c r="B20" t="s">
        <v>302</v>
      </c>
      <c r="C20" t="s">
        <v>270</v>
      </c>
      <c r="D20">
        <v>40</v>
      </c>
      <c r="E20">
        <v>20</v>
      </c>
      <c r="F20">
        <v>1019.58</v>
      </c>
      <c r="G20">
        <f>1+2+4+1+2+25+2+3+1+1+3+14+1+3+1+5+21+1+1+1</f>
        <v>93</v>
      </c>
      <c r="H20">
        <v>1026.8</v>
      </c>
      <c r="I20">
        <v>20</v>
      </c>
      <c r="J20">
        <f>30+1008+10+1+6+3+13+25+14+4+10+41+1+2+11+1+10+74+19+1</f>
        <v>1284</v>
      </c>
      <c r="K20">
        <v>20</v>
      </c>
      <c r="L20">
        <v>1026.9000000000001</v>
      </c>
      <c r="M20">
        <v>1000</v>
      </c>
      <c r="N20" s="1">
        <v>150000</v>
      </c>
      <c r="O20" s="2">
        <v>45996</v>
      </c>
      <c r="P20" s="2">
        <v>46363</v>
      </c>
      <c r="Q20">
        <v>12</v>
      </c>
      <c r="R20">
        <v>14.24</v>
      </c>
      <c r="S20" t="s">
        <v>39</v>
      </c>
      <c r="T20" t="s">
        <v>59</v>
      </c>
    </row>
    <row r="21" spans="1:20" x14ac:dyDescent="0.3">
      <c r="A21" t="s">
        <v>303</v>
      </c>
      <c r="B21" t="s">
        <v>302</v>
      </c>
      <c r="C21" t="s">
        <v>270</v>
      </c>
      <c r="D21">
        <v>26</v>
      </c>
      <c r="E21">
        <v>15</v>
      </c>
      <c r="F21">
        <v>1046.67</v>
      </c>
      <c r="G21">
        <f>1+1+2+3+1+2+3+3+7+3+50+148+1+2+1</f>
        <v>228</v>
      </c>
      <c r="H21">
        <v>1060.98</v>
      </c>
      <c r="I21">
        <v>11</v>
      </c>
      <c r="J21">
        <f>5+2+5+1+5+5+12+4+1+2+2</f>
        <v>44</v>
      </c>
      <c r="K21">
        <v>21</v>
      </c>
      <c r="L21">
        <v>1060.98</v>
      </c>
      <c r="M21" s="1">
        <v>1000</v>
      </c>
      <c r="N21" s="1">
        <v>55000</v>
      </c>
      <c r="O21" s="2">
        <v>46045</v>
      </c>
      <c r="P21" s="2">
        <v>46363</v>
      </c>
      <c r="Q21">
        <v>11</v>
      </c>
      <c r="R21">
        <v>4.0199999999999996</v>
      </c>
      <c r="S21" t="s">
        <v>39</v>
      </c>
      <c r="T21" t="s">
        <v>59</v>
      </c>
    </row>
    <row r="22" spans="1:20" x14ac:dyDescent="0.3">
      <c r="A22" t="s">
        <v>304</v>
      </c>
      <c r="B22" t="s">
        <v>305</v>
      </c>
      <c r="C22" t="s">
        <v>270</v>
      </c>
      <c r="D22">
        <v>40</v>
      </c>
      <c r="E22">
        <v>20</v>
      </c>
      <c r="F22">
        <v>1062</v>
      </c>
      <c r="G22">
        <f>1+10+55+3+15+5+239+61+5+1+2+1+7+2+2+1+1+1+1</f>
        <v>413</v>
      </c>
      <c r="H22">
        <v>1080</v>
      </c>
      <c r="I22">
        <v>20</v>
      </c>
      <c r="J22">
        <f>218+55+52+57+4+2+38+1+5+60+3+10+282+1+52+1+4645+6+8+93</f>
        <v>5593</v>
      </c>
      <c r="K22">
        <v>21.5</v>
      </c>
      <c r="L22">
        <v>1076</v>
      </c>
      <c r="M22">
        <v>1000</v>
      </c>
      <c r="N22" s="1">
        <v>500000</v>
      </c>
      <c r="O22" s="2">
        <v>45827</v>
      </c>
      <c r="P22" s="2">
        <v>46195</v>
      </c>
      <c r="Q22">
        <v>12</v>
      </c>
      <c r="R22">
        <v>8.24</v>
      </c>
      <c r="S22" t="s">
        <v>39</v>
      </c>
      <c r="T22" t="s">
        <v>306</v>
      </c>
    </row>
    <row r="23" spans="1:20" x14ac:dyDescent="0.3">
      <c r="A23" t="s">
        <v>307</v>
      </c>
      <c r="B23" t="s">
        <v>308</v>
      </c>
      <c r="C23" t="s">
        <v>270</v>
      </c>
      <c r="D23">
        <v>40</v>
      </c>
      <c r="E23">
        <v>2</v>
      </c>
      <c r="F23">
        <v>1032.0999999999999</v>
      </c>
      <c r="G23">
        <f>33+2+1+58+11+1+10+5+3+4+1+18+1+51+12+1+9+102+1+1</f>
        <v>325</v>
      </c>
      <c r="H23">
        <v>1037</v>
      </c>
      <c r="I23">
        <v>20</v>
      </c>
      <c r="J23">
        <f>61+130+100+252+34+323+22+10+14+1+4+5+50+3+34+10+1+15+4+50</f>
        <v>1123</v>
      </c>
      <c r="K23">
        <v>21.75</v>
      </c>
      <c r="L23">
        <v>1037</v>
      </c>
      <c r="M23" s="1">
        <v>1000</v>
      </c>
      <c r="N23" s="1">
        <v>250000</v>
      </c>
      <c r="O23" s="2">
        <v>45981</v>
      </c>
      <c r="P23" s="2">
        <v>46349</v>
      </c>
      <c r="Q23">
        <v>12</v>
      </c>
      <c r="R23">
        <v>41.71</v>
      </c>
      <c r="S23" t="s">
        <v>39</v>
      </c>
      <c r="T23" t="s">
        <v>309</v>
      </c>
    </row>
    <row r="24" spans="1:20" x14ac:dyDescent="0.3">
      <c r="A24" t="s">
        <v>310</v>
      </c>
      <c r="B24" t="s">
        <v>47</v>
      </c>
      <c r="C24" t="s">
        <v>270</v>
      </c>
      <c r="D24">
        <v>40</v>
      </c>
      <c r="E24">
        <v>20</v>
      </c>
      <c r="F24">
        <v>1005.9</v>
      </c>
      <c r="G24">
        <f>5+3+5+5+1+14+10+20+2+100+1+3+1+1+3+10+1+3+55+3</f>
        <v>246</v>
      </c>
      <c r="H24">
        <v>1014.43</v>
      </c>
      <c r="I24">
        <v>20</v>
      </c>
      <c r="J24">
        <f>6+1+64+1+5+5+5+10+30+1+4+123+26+1+5+1+2+16+3+8</f>
        <v>317</v>
      </c>
      <c r="K24">
        <v>18.5</v>
      </c>
      <c r="L24">
        <v>1014.43</v>
      </c>
      <c r="M24">
        <v>1000</v>
      </c>
      <c r="N24" s="1">
        <v>500000</v>
      </c>
      <c r="O24" s="2">
        <v>46010</v>
      </c>
      <c r="P24" s="2">
        <v>46377</v>
      </c>
      <c r="Q24">
        <v>12</v>
      </c>
      <c r="R24">
        <v>6.08</v>
      </c>
      <c r="S24" t="s">
        <v>39</v>
      </c>
      <c r="T24" t="s">
        <v>306</v>
      </c>
    </row>
    <row r="25" spans="1:20" x14ac:dyDescent="0.3">
      <c r="A25" t="s">
        <v>311</v>
      </c>
      <c r="B25" t="s">
        <v>47</v>
      </c>
      <c r="C25" t="s">
        <v>270</v>
      </c>
      <c r="D25">
        <v>40</v>
      </c>
      <c r="E25">
        <v>20</v>
      </c>
      <c r="F25">
        <v>1002.1</v>
      </c>
      <c r="G25">
        <f>4+37+6+47+1+1+138+1+180+5+2+3+2+3+24+5+117+31+12+152</f>
        <v>771</v>
      </c>
      <c r="H25">
        <v>1004.54</v>
      </c>
      <c r="I25">
        <v>20</v>
      </c>
      <c r="J25">
        <f>1+1+10+10+32+43+1+5+2+21+1+1+5+100+3+10+6+98+53+20</f>
        <v>423</v>
      </c>
      <c r="K25">
        <v>17</v>
      </c>
      <c r="L25">
        <v>1004.4</v>
      </c>
      <c r="M25" s="1">
        <v>1000</v>
      </c>
      <c r="N25" s="1">
        <v>500000</v>
      </c>
      <c r="O25" s="2">
        <v>46106</v>
      </c>
      <c r="P25" s="2">
        <v>46472</v>
      </c>
      <c r="Q25">
        <v>12</v>
      </c>
      <c r="R25">
        <v>3.26</v>
      </c>
      <c r="S25" t="s">
        <v>39</v>
      </c>
      <c r="T25" t="s">
        <v>306</v>
      </c>
    </row>
    <row r="26" spans="1:20" x14ac:dyDescent="0.3">
      <c r="A26" t="s">
        <v>312</v>
      </c>
      <c r="B26" t="s">
        <v>313</v>
      </c>
      <c r="C26" t="s">
        <v>270</v>
      </c>
      <c r="D26">
        <v>40</v>
      </c>
      <c r="E26">
        <v>20</v>
      </c>
      <c r="F26">
        <v>1007.05</v>
      </c>
      <c r="G26">
        <f>1+2+2+5+3+2+9+9+1+4+50+2+10+5+3+10+1+30+102+5</f>
        <v>256</v>
      </c>
      <c r="H26">
        <v>1022.88</v>
      </c>
      <c r="I26">
        <v>20</v>
      </c>
      <c r="J26">
        <f>4+9+10+11+5+5+2+8+8+7+6+172+1+5+6+1+1+10+1+2</f>
        <v>274</v>
      </c>
      <c r="K26">
        <v>21</v>
      </c>
      <c r="L26">
        <v>1022.89</v>
      </c>
      <c r="M26">
        <v>1000</v>
      </c>
      <c r="N26" s="1">
        <v>300000</v>
      </c>
      <c r="O26" s="2">
        <v>46008</v>
      </c>
      <c r="P26" s="2">
        <v>46374</v>
      </c>
      <c r="Q26">
        <v>12</v>
      </c>
      <c r="R26">
        <v>8.6300000000000008</v>
      </c>
      <c r="S26" t="s">
        <v>39</v>
      </c>
      <c r="T26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095E-C55C-4A52-94B5-34B13035911D}">
  <dimension ref="A1:W200"/>
  <sheetViews>
    <sheetView tabSelected="1" zoomScale="54" zoomScaleNormal="7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K203" sqref="K203"/>
    </sheetView>
  </sheetViews>
  <sheetFormatPr defaultRowHeight="14.4" x14ac:dyDescent="0.3"/>
  <cols>
    <col min="1" max="1" width="38" bestFit="1" customWidth="1"/>
    <col min="2" max="2" width="41.33203125" bestFit="1" customWidth="1"/>
    <col min="3" max="3" width="24.109375" bestFit="1" customWidth="1"/>
    <col min="4" max="5" width="28.6640625" bestFit="1" customWidth="1"/>
    <col min="6" max="7" width="18.6640625" bestFit="1" customWidth="1"/>
    <col min="8" max="9" width="29.44140625" bestFit="1" customWidth="1"/>
    <col min="10" max="10" width="17.88671875" bestFit="1" customWidth="1"/>
    <col min="11" max="11" width="19.77734375" bestFit="1" customWidth="1"/>
    <col min="12" max="12" width="13.33203125" customWidth="1"/>
    <col min="13" max="13" width="10.109375" bestFit="1" customWidth="1"/>
    <col min="14" max="14" width="19.33203125" customWidth="1"/>
    <col min="15" max="15" width="15.6640625" bestFit="1" customWidth="1"/>
    <col min="16" max="16" width="22" bestFit="1" customWidth="1"/>
    <col min="17" max="17" width="22.5546875" bestFit="1" customWidth="1"/>
    <col min="18" max="18" width="35.6640625" bestFit="1" customWidth="1"/>
    <col min="19" max="19" width="28.33203125" bestFit="1" customWidth="1"/>
    <col min="20" max="20" width="23" bestFit="1" customWidth="1"/>
    <col min="21" max="21" width="22.88671875" bestFit="1" customWidth="1"/>
    <col min="22" max="22" width="22" bestFit="1" customWidth="1"/>
    <col min="23" max="23" width="24.109375" bestFit="1" customWidth="1"/>
  </cols>
  <sheetData>
    <row r="1" spans="1:23" x14ac:dyDescent="0.3">
      <c r="A1" t="s">
        <v>0</v>
      </c>
      <c r="B1" t="s">
        <v>1</v>
      </c>
      <c r="C1" t="s">
        <v>44</v>
      </c>
      <c r="D1" t="s">
        <v>2</v>
      </c>
      <c r="E1" t="s">
        <v>4</v>
      </c>
      <c r="F1" t="s">
        <v>100</v>
      </c>
      <c r="G1" t="s">
        <v>24</v>
      </c>
      <c r="H1" t="s">
        <v>101</v>
      </c>
      <c r="I1" t="s">
        <v>3</v>
      </c>
      <c r="J1" t="s">
        <v>25</v>
      </c>
      <c r="K1" t="s">
        <v>5</v>
      </c>
      <c r="L1" t="s">
        <v>31</v>
      </c>
      <c r="M1" t="s">
        <v>6</v>
      </c>
      <c r="N1" t="s">
        <v>53</v>
      </c>
      <c r="O1" t="s">
        <v>42</v>
      </c>
      <c r="P1" t="s">
        <v>43</v>
      </c>
      <c r="Q1" t="s">
        <v>26</v>
      </c>
      <c r="R1" t="s">
        <v>37</v>
      </c>
      <c r="S1" t="s">
        <v>48</v>
      </c>
      <c r="T1" t="s">
        <v>38</v>
      </c>
      <c r="U1" t="s">
        <v>32</v>
      </c>
      <c r="V1" t="s">
        <v>326</v>
      </c>
      <c r="W1" t="s">
        <v>330</v>
      </c>
    </row>
    <row r="2" spans="1:23" x14ac:dyDescent="0.3">
      <c r="A2" t="s">
        <v>267</v>
      </c>
      <c r="B2" t="s">
        <v>268</v>
      </c>
      <c r="C2" t="s">
        <v>45</v>
      </c>
      <c r="D2">
        <v>15</v>
      </c>
      <c r="E2">
        <v>5</v>
      </c>
      <c r="F2">
        <v>105</v>
      </c>
      <c r="G2">
        <f>477+105+15+4+30</f>
        <v>631</v>
      </c>
      <c r="H2">
        <v>305</v>
      </c>
      <c r="I2">
        <v>10</v>
      </c>
      <c r="J2">
        <f>8+1+1+1+2+2+2+10+10+1</f>
        <v>38</v>
      </c>
      <c r="K2">
        <v>20.5</v>
      </c>
      <c r="L2">
        <v>205</v>
      </c>
      <c r="M2">
        <v>1000</v>
      </c>
      <c r="N2" s="2">
        <v>45469</v>
      </c>
      <c r="O2" s="2">
        <v>47660</v>
      </c>
      <c r="P2" s="2">
        <v>45470</v>
      </c>
      <c r="Q2" t="s">
        <v>27</v>
      </c>
      <c r="R2">
        <v>12</v>
      </c>
      <c r="T2" t="s">
        <v>39</v>
      </c>
      <c r="V2" t="s">
        <v>329</v>
      </c>
      <c r="W2">
        <v>16</v>
      </c>
    </row>
    <row r="3" spans="1:23" x14ac:dyDescent="0.3">
      <c r="A3" t="s">
        <v>266</v>
      </c>
      <c r="B3" t="s">
        <v>30</v>
      </c>
      <c r="C3" t="s">
        <v>45</v>
      </c>
      <c r="D3">
        <v>9</v>
      </c>
      <c r="E3">
        <v>9</v>
      </c>
      <c r="F3">
        <v>1006</v>
      </c>
      <c r="G3">
        <f>111+1130+212+605+555+50+50+120+3</f>
        <v>2836</v>
      </c>
      <c r="H3">
        <v>0</v>
      </c>
      <c r="I3">
        <v>0</v>
      </c>
      <c r="J3">
        <v>0</v>
      </c>
      <c r="K3">
        <v>23.34</v>
      </c>
      <c r="L3">
        <v>1006</v>
      </c>
      <c r="M3">
        <v>1000</v>
      </c>
      <c r="N3" s="2">
        <v>45597</v>
      </c>
      <c r="O3" s="2">
        <v>46689</v>
      </c>
      <c r="P3" s="2">
        <v>45597</v>
      </c>
      <c r="Q3" t="s">
        <v>27</v>
      </c>
      <c r="R3">
        <v>36</v>
      </c>
      <c r="T3" t="s">
        <v>40</v>
      </c>
      <c r="U3" t="s">
        <v>202</v>
      </c>
      <c r="V3" t="s">
        <v>329</v>
      </c>
      <c r="W3">
        <v>21</v>
      </c>
    </row>
    <row r="4" spans="1:23" x14ac:dyDescent="0.3">
      <c r="A4" t="s">
        <v>264</v>
      </c>
      <c r="B4" t="s">
        <v>30</v>
      </c>
      <c r="C4" t="s">
        <v>45</v>
      </c>
      <c r="D4">
        <v>12</v>
      </c>
      <c r="E4">
        <v>12</v>
      </c>
      <c r="F4">
        <v>1013</v>
      </c>
      <c r="G4">
        <f>110+1130+212+114+55+50+1+1+1+1+1+10</f>
        <v>1686</v>
      </c>
      <c r="H4">
        <v>0</v>
      </c>
      <c r="I4">
        <v>0</v>
      </c>
      <c r="J4">
        <v>0</v>
      </c>
      <c r="K4">
        <v>23.67</v>
      </c>
      <c r="L4">
        <v>1013</v>
      </c>
      <c r="M4">
        <v>1000</v>
      </c>
      <c r="N4" s="2">
        <v>45605</v>
      </c>
      <c r="O4" s="2">
        <v>46699</v>
      </c>
      <c r="P4" s="2">
        <v>45607</v>
      </c>
      <c r="Q4" t="s">
        <v>27</v>
      </c>
      <c r="R4">
        <v>36</v>
      </c>
      <c r="T4" t="s">
        <v>40</v>
      </c>
      <c r="U4" t="s">
        <v>202</v>
      </c>
      <c r="V4" t="s">
        <v>329</v>
      </c>
      <c r="W4">
        <v>21</v>
      </c>
    </row>
    <row r="5" spans="1:23" x14ac:dyDescent="0.3">
      <c r="A5" t="s">
        <v>265</v>
      </c>
      <c r="B5" t="s">
        <v>30</v>
      </c>
      <c r="C5" t="s">
        <v>45</v>
      </c>
      <c r="D5">
        <v>8</v>
      </c>
      <c r="E5">
        <v>8</v>
      </c>
      <c r="F5">
        <v>1200</v>
      </c>
      <c r="G5">
        <f>121+1041+1000+1162+200+555+555+542</f>
        <v>5176</v>
      </c>
      <c r="H5">
        <v>0</v>
      </c>
      <c r="I5">
        <v>0</v>
      </c>
      <c r="J5">
        <v>0</v>
      </c>
      <c r="K5">
        <v>26.1</v>
      </c>
      <c r="L5">
        <v>1200</v>
      </c>
      <c r="M5">
        <v>1000</v>
      </c>
      <c r="N5" s="2">
        <v>45605</v>
      </c>
      <c r="O5" s="2">
        <v>46335</v>
      </c>
      <c r="P5" s="2">
        <v>45607</v>
      </c>
      <c r="Q5" t="s">
        <v>27</v>
      </c>
      <c r="R5">
        <v>24</v>
      </c>
      <c r="T5" t="s">
        <v>40</v>
      </c>
      <c r="U5" t="s">
        <v>202</v>
      </c>
      <c r="V5" t="s">
        <v>329</v>
      </c>
      <c r="W5">
        <v>21</v>
      </c>
    </row>
    <row r="6" spans="1:23" x14ac:dyDescent="0.3">
      <c r="A6" t="s">
        <v>260</v>
      </c>
      <c r="B6" t="s">
        <v>30</v>
      </c>
      <c r="C6" t="s">
        <v>45</v>
      </c>
      <c r="D6">
        <v>9</v>
      </c>
      <c r="E6">
        <v>9</v>
      </c>
      <c r="F6">
        <v>1200</v>
      </c>
      <c r="G6">
        <f>112+1015+1641+1+1+47+1+555+43</f>
        <v>3416</v>
      </c>
      <c r="H6">
        <v>0</v>
      </c>
      <c r="I6">
        <v>0</v>
      </c>
      <c r="J6">
        <v>0</v>
      </c>
      <c r="K6">
        <v>26.3</v>
      </c>
      <c r="L6">
        <v>1200</v>
      </c>
      <c r="M6">
        <v>1000</v>
      </c>
      <c r="N6" s="2">
        <v>45609</v>
      </c>
      <c r="O6" s="2">
        <v>46155</v>
      </c>
      <c r="P6" s="2">
        <v>45609</v>
      </c>
      <c r="Q6" t="s">
        <v>27</v>
      </c>
      <c r="R6">
        <v>18</v>
      </c>
      <c r="T6" t="s">
        <v>40</v>
      </c>
      <c r="U6" t="s">
        <v>202</v>
      </c>
      <c r="V6" t="s">
        <v>329</v>
      </c>
      <c r="W6">
        <v>21</v>
      </c>
    </row>
    <row r="7" spans="1:23" x14ac:dyDescent="0.3">
      <c r="A7" t="s">
        <v>261</v>
      </c>
      <c r="B7" t="s">
        <v>262</v>
      </c>
      <c r="C7" t="s">
        <v>45</v>
      </c>
      <c r="D7">
        <v>6</v>
      </c>
      <c r="E7">
        <v>3</v>
      </c>
      <c r="F7">
        <v>200</v>
      </c>
      <c r="G7">
        <f>501+5+540</f>
        <v>1046</v>
      </c>
      <c r="H7">
        <v>204</v>
      </c>
      <c r="I7">
        <v>3</v>
      </c>
      <c r="J7">
        <f>71+702+7</f>
        <v>780</v>
      </c>
      <c r="K7">
        <v>25.5</v>
      </c>
      <c r="L7">
        <v>202</v>
      </c>
      <c r="M7">
        <v>200</v>
      </c>
      <c r="N7" s="2">
        <v>45609</v>
      </c>
      <c r="O7" s="2">
        <v>46154</v>
      </c>
      <c r="P7" s="2">
        <v>45609</v>
      </c>
      <c r="Q7" t="s">
        <v>27</v>
      </c>
      <c r="R7">
        <v>18</v>
      </c>
      <c r="T7" t="s">
        <v>39</v>
      </c>
      <c r="U7" t="s">
        <v>263</v>
      </c>
      <c r="V7" t="s">
        <v>329</v>
      </c>
      <c r="W7">
        <v>21</v>
      </c>
    </row>
    <row r="8" spans="1:23" x14ac:dyDescent="0.3">
      <c r="A8" t="s">
        <v>259</v>
      </c>
      <c r="B8" t="s">
        <v>30</v>
      </c>
      <c r="C8" t="s">
        <v>45</v>
      </c>
      <c r="D8">
        <v>10</v>
      </c>
      <c r="E8">
        <v>10</v>
      </c>
      <c r="F8">
        <v>1111</v>
      </c>
      <c r="G8">
        <f>10+238+50+555+3+2+273+1+40+45</f>
        <v>1217</v>
      </c>
      <c r="H8">
        <v>0</v>
      </c>
      <c r="I8">
        <v>0</v>
      </c>
      <c r="J8">
        <v>0</v>
      </c>
      <c r="K8">
        <v>24</v>
      </c>
      <c r="L8">
        <v>1111</v>
      </c>
      <c r="M8">
        <v>1000</v>
      </c>
      <c r="N8" s="2">
        <v>45618</v>
      </c>
      <c r="O8" s="2">
        <v>46713</v>
      </c>
      <c r="P8" s="2">
        <v>45618</v>
      </c>
      <c r="Q8" t="s">
        <v>27</v>
      </c>
      <c r="R8">
        <v>36</v>
      </c>
      <c r="T8" t="s">
        <v>40</v>
      </c>
      <c r="U8" t="s">
        <v>202</v>
      </c>
      <c r="V8" t="s">
        <v>329</v>
      </c>
      <c r="W8">
        <v>21</v>
      </c>
    </row>
    <row r="9" spans="1:23" x14ac:dyDescent="0.3">
      <c r="A9" t="s">
        <v>258</v>
      </c>
      <c r="B9" t="s">
        <v>30</v>
      </c>
      <c r="C9" t="s">
        <v>45</v>
      </c>
      <c r="D9">
        <v>8</v>
      </c>
      <c r="E9">
        <v>8</v>
      </c>
      <c r="F9">
        <v>1300</v>
      </c>
      <c r="G9">
        <f>11+105+545+250+41+3+9+100</f>
        <v>1064</v>
      </c>
      <c r="H9">
        <v>0</v>
      </c>
      <c r="I9">
        <v>0</v>
      </c>
      <c r="J9">
        <v>0</v>
      </c>
      <c r="K9">
        <v>26</v>
      </c>
      <c r="L9">
        <v>1224</v>
      </c>
      <c r="M9">
        <v>1000</v>
      </c>
      <c r="N9" s="2">
        <v>45619</v>
      </c>
      <c r="O9" s="2">
        <v>46713</v>
      </c>
      <c r="P9" s="2">
        <v>45621</v>
      </c>
      <c r="Q9" t="s">
        <v>27</v>
      </c>
      <c r="R9">
        <v>36</v>
      </c>
      <c r="T9" t="s">
        <v>40</v>
      </c>
      <c r="U9" t="s">
        <v>202</v>
      </c>
      <c r="V9" t="s">
        <v>329</v>
      </c>
      <c r="W9">
        <v>21</v>
      </c>
    </row>
    <row r="10" spans="1:23" x14ac:dyDescent="0.3">
      <c r="A10" t="s">
        <v>257</v>
      </c>
      <c r="B10" t="s">
        <v>30</v>
      </c>
      <c r="C10" t="s">
        <v>45</v>
      </c>
      <c r="D10">
        <v>6</v>
      </c>
      <c r="E10">
        <v>6</v>
      </c>
      <c r="F10">
        <v>1111</v>
      </c>
      <c r="G10">
        <f>110+111+50+555+45+111</f>
        <v>982</v>
      </c>
      <c r="H10">
        <v>0</v>
      </c>
      <c r="I10">
        <v>0</v>
      </c>
      <c r="J10">
        <v>0</v>
      </c>
      <c r="K10">
        <v>24</v>
      </c>
      <c r="L10">
        <v>1111</v>
      </c>
      <c r="M10">
        <v>1000</v>
      </c>
      <c r="N10" s="2">
        <v>45625</v>
      </c>
      <c r="O10" s="2">
        <v>46720</v>
      </c>
      <c r="P10" s="2">
        <v>45625</v>
      </c>
      <c r="Q10" t="s">
        <v>27</v>
      </c>
      <c r="R10">
        <v>36</v>
      </c>
      <c r="T10" t="s">
        <v>40</v>
      </c>
      <c r="U10" t="s">
        <v>202</v>
      </c>
      <c r="V10" t="s">
        <v>329</v>
      </c>
      <c r="W10">
        <v>21</v>
      </c>
    </row>
    <row r="11" spans="1:23" x14ac:dyDescent="0.3">
      <c r="A11" t="s">
        <v>256</v>
      </c>
      <c r="B11" t="s">
        <v>30</v>
      </c>
      <c r="C11" t="s">
        <v>45</v>
      </c>
      <c r="D11">
        <v>12</v>
      </c>
      <c r="E11">
        <v>12</v>
      </c>
      <c r="F11">
        <v>1052</v>
      </c>
      <c r="G11">
        <f>110+1143+555+1242+16+300+555+297+200+2+2+1</f>
        <v>4423</v>
      </c>
      <c r="H11">
        <v>0</v>
      </c>
      <c r="I11">
        <v>0</v>
      </c>
      <c r="J11">
        <v>0</v>
      </c>
      <c r="K11">
        <v>22.9</v>
      </c>
      <c r="L11">
        <v>1052</v>
      </c>
      <c r="M11">
        <v>1000</v>
      </c>
      <c r="N11" s="2">
        <v>45629</v>
      </c>
      <c r="O11" s="2">
        <v>46723</v>
      </c>
      <c r="P11" s="2">
        <v>45629</v>
      </c>
      <c r="Q11" t="s">
        <v>27</v>
      </c>
      <c r="R11">
        <v>36</v>
      </c>
      <c r="T11" t="s">
        <v>39</v>
      </c>
      <c r="U11" t="s">
        <v>202</v>
      </c>
      <c r="V11" t="s">
        <v>329</v>
      </c>
      <c r="W11">
        <v>21</v>
      </c>
    </row>
    <row r="12" spans="1:23" x14ac:dyDescent="0.3">
      <c r="A12" t="s">
        <v>238</v>
      </c>
      <c r="B12" t="s">
        <v>238</v>
      </c>
      <c r="C12" t="s">
        <v>45</v>
      </c>
      <c r="D12">
        <v>30</v>
      </c>
      <c r="E12">
        <v>11</v>
      </c>
      <c r="F12">
        <v>117</v>
      </c>
      <c r="G12">
        <f>43112+5000+1000+218+100+10+50+21+802+10+3</f>
        <v>50326</v>
      </c>
      <c r="H12">
        <v>250</v>
      </c>
      <c r="I12">
        <v>19</v>
      </c>
      <c r="J12">
        <f>3+15+5+1+32+7+20+41+150+78+99+50+5+1+6+6+50+491+34</f>
        <v>1094</v>
      </c>
      <c r="K12">
        <v>26</v>
      </c>
      <c r="L12">
        <v>183.5</v>
      </c>
      <c r="M12">
        <v>1000</v>
      </c>
      <c r="N12" s="2">
        <v>45629</v>
      </c>
      <c r="O12" s="2">
        <v>47728</v>
      </c>
      <c r="P12" s="2">
        <v>45629</v>
      </c>
      <c r="Q12" t="s">
        <v>27</v>
      </c>
      <c r="R12">
        <v>9</v>
      </c>
      <c r="T12" t="s">
        <v>39</v>
      </c>
      <c r="U12" t="s">
        <v>202</v>
      </c>
      <c r="V12" t="s">
        <v>329</v>
      </c>
      <c r="W12">
        <v>21</v>
      </c>
    </row>
    <row r="13" spans="1:23" x14ac:dyDescent="0.3">
      <c r="A13" t="s">
        <v>255</v>
      </c>
      <c r="B13" t="s">
        <v>30</v>
      </c>
      <c r="C13" t="s">
        <v>45</v>
      </c>
      <c r="D13">
        <v>4</v>
      </c>
      <c r="E13">
        <v>4</v>
      </c>
      <c r="F13">
        <v>1200</v>
      </c>
      <c r="G13">
        <f>75+1+5+40</f>
        <v>121</v>
      </c>
      <c r="H13">
        <v>0</v>
      </c>
      <c r="I13">
        <v>0</v>
      </c>
      <c r="J13">
        <v>0</v>
      </c>
      <c r="K13">
        <v>25</v>
      </c>
      <c r="L13">
        <v>1200</v>
      </c>
      <c r="M13">
        <v>1000</v>
      </c>
      <c r="N13" s="2">
        <v>45632</v>
      </c>
      <c r="O13" s="2">
        <v>46727</v>
      </c>
      <c r="P13" s="2">
        <v>45632</v>
      </c>
      <c r="Q13" t="s">
        <v>27</v>
      </c>
      <c r="R13">
        <v>36</v>
      </c>
      <c r="T13" t="s">
        <v>40</v>
      </c>
      <c r="U13" t="s">
        <v>202</v>
      </c>
      <c r="V13" t="s">
        <v>329</v>
      </c>
      <c r="W13">
        <v>21</v>
      </c>
    </row>
    <row r="14" spans="1:23" x14ac:dyDescent="0.3">
      <c r="A14" t="s">
        <v>238</v>
      </c>
      <c r="B14" t="s">
        <v>238</v>
      </c>
      <c r="C14" t="s">
        <v>45</v>
      </c>
      <c r="D14">
        <v>25</v>
      </c>
      <c r="E14">
        <v>9</v>
      </c>
      <c r="F14">
        <v>141</v>
      </c>
      <c r="G14">
        <f>7000+5000+100+26+50+21+1025+10+10</f>
        <v>13242</v>
      </c>
      <c r="H14">
        <v>249</v>
      </c>
      <c r="I14">
        <f>D14-E14</f>
        <v>16</v>
      </c>
      <c r="J14">
        <f>2+43+5+10*6+5+1+1+2+189+1+15</f>
        <v>324</v>
      </c>
      <c r="K14">
        <v>27</v>
      </c>
      <c r="L14">
        <v>195</v>
      </c>
      <c r="M14">
        <v>1000</v>
      </c>
      <c r="N14" s="2">
        <v>45653</v>
      </c>
      <c r="O14" s="2">
        <v>47752</v>
      </c>
      <c r="P14" s="2">
        <v>45653</v>
      </c>
      <c r="Q14" t="s">
        <v>27</v>
      </c>
      <c r="R14">
        <v>9</v>
      </c>
      <c r="T14" t="s">
        <v>39</v>
      </c>
      <c r="V14" t="s">
        <v>329</v>
      </c>
      <c r="W14">
        <v>21</v>
      </c>
    </row>
    <row r="15" spans="1:23" x14ac:dyDescent="0.3">
      <c r="A15" t="s">
        <v>254</v>
      </c>
      <c r="B15" t="s">
        <v>30</v>
      </c>
      <c r="C15" t="s">
        <v>45</v>
      </c>
      <c r="D15">
        <v>8</v>
      </c>
      <c r="E15">
        <v>8</v>
      </c>
      <c r="F15">
        <v>1200</v>
      </c>
      <c r="G15">
        <f>100+1124+212+669+1+1+85+40</f>
        <v>2232</v>
      </c>
      <c r="H15">
        <v>0</v>
      </c>
      <c r="I15">
        <v>0</v>
      </c>
      <c r="J15">
        <v>0</v>
      </c>
      <c r="K15">
        <v>26.47</v>
      </c>
      <c r="L15">
        <v>1200</v>
      </c>
      <c r="M15">
        <v>1000</v>
      </c>
      <c r="N15" s="2">
        <v>45689</v>
      </c>
      <c r="O15" s="2">
        <v>46780</v>
      </c>
      <c r="P15" s="2">
        <v>45691</v>
      </c>
      <c r="Q15" t="s">
        <v>27</v>
      </c>
      <c r="R15">
        <v>36</v>
      </c>
      <c r="T15" t="s">
        <v>40</v>
      </c>
      <c r="U15" t="s">
        <v>202</v>
      </c>
      <c r="V15" t="s">
        <v>329</v>
      </c>
      <c r="W15">
        <v>21</v>
      </c>
    </row>
    <row r="16" spans="1:23" x14ac:dyDescent="0.3">
      <c r="A16" t="s">
        <v>253</v>
      </c>
      <c r="B16" t="s">
        <v>30</v>
      </c>
      <c r="C16" t="s">
        <v>45</v>
      </c>
      <c r="D16">
        <v>8</v>
      </c>
      <c r="E16">
        <v>8</v>
      </c>
      <c r="F16">
        <v>1110</v>
      </c>
      <c r="G16">
        <f>1124+212+1426+50+525+274+10+1</f>
        <v>3622</v>
      </c>
      <c r="H16">
        <v>0</v>
      </c>
      <c r="I16">
        <v>0</v>
      </c>
      <c r="J16">
        <v>0</v>
      </c>
      <c r="K16">
        <v>26.48</v>
      </c>
      <c r="L16">
        <v>1110</v>
      </c>
      <c r="M16">
        <v>1000</v>
      </c>
      <c r="N16" s="2">
        <v>45694</v>
      </c>
      <c r="O16" s="2">
        <v>46787</v>
      </c>
      <c r="P16" s="2">
        <v>45694</v>
      </c>
      <c r="Q16" t="s">
        <v>27</v>
      </c>
      <c r="R16">
        <v>36</v>
      </c>
      <c r="T16" t="s">
        <v>40</v>
      </c>
      <c r="U16" t="s">
        <v>202</v>
      </c>
      <c r="V16" t="s">
        <v>329</v>
      </c>
      <c r="W16">
        <v>21</v>
      </c>
    </row>
    <row r="17" spans="1:23" x14ac:dyDescent="0.3">
      <c r="A17" t="s">
        <v>252</v>
      </c>
      <c r="B17" t="s">
        <v>30</v>
      </c>
      <c r="C17" t="s">
        <v>45</v>
      </c>
      <c r="D17">
        <v>9</v>
      </c>
      <c r="E17">
        <v>9</v>
      </c>
      <c r="F17">
        <v>1111</v>
      </c>
      <c r="G17">
        <f>104+1130+212+658+1+50+1+30+11</f>
        <v>2197</v>
      </c>
      <c r="H17">
        <v>0</v>
      </c>
      <c r="I17">
        <v>0</v>
      </c>
      <c r="J17">
        <v>0</v>
      </c>
      <c r="K17">
        <v>25.91</v>
      </c>
      <c r="L17">
        <v>1111</v>
      </c>
      <c r="M17">
        <v>1000</v>
      </c>
      <c r="N17" s="2">
        <v>45696</v>
      </c>
      <c r="O17" s="2">
        <v>46787</v>
      </c>
      <c r="P17" s="2">
        <v>45698</v>
      </c>
      <c r="Q17" t="s">
        <v>27</v>
      </c>
      <c r="R17">
        <v>36</v>
      </c>
      <c r="T17" t="s">
        <v>40</v>
      </c>
      <c r="U17" t="s">
        <v>202</v>
      </c>
      <c r="V17" t="s">
        <v>329</v>
      </c>
      <c r="W17">
        <v>21</v>
      </c>
    </row>
    <row r="18" spans="1:23" x14ac:dyDescent="0.3">
      <c r="A18" t="s">
        <v>251</v>
      </c>
      <c r="B18" t="s">
        <v>30</v>
      </c>
      <c r="C18" t="s">
        <v>45</v>
      </c>
      <c r="D18">
        <v>6</v>
      </c>
      <c r="E18">
        <v>6</v>
      </c>
      <c r="F18">
        <v>1003</v>
      </c>
      <c r="G18">
        <f>100+705+656+302+11+1</f>
        <v>1775</v>
      </c>
      <c r="H18">
        <v>0</v>
      </c>
      <c r="I18">
        <v>0</v>
      </c>
      <c r="J18">
        <v>0</v>
      </c>
      <c r="K18">
        <v>25.9</v>
      </c>
      <c r="L18">
        <v>1003</v>
      </c>
      <c r="M18">
        <v>1000</v>
      </c>
      <c r="N18" s="2">
        <v>45701</v>
      </c>
      <c r="O18" s="2">
        <v>46794</v>
      </c>
      <c r="P18" s="2">
        <v>45701</v>
      </c>
      <c r="Q18" t="s">
        <v>27</v>
      </c>
      <c r="R18">
        <v>36</v>
      </c>
      <c r="T18" t="s">
        <v>40</v>
      </c>
      <c r="U18" t="s">
        <v>202</v>
      </c>
      <c r="V18" t="s">
        <v>329</v>
      </c>
      <c r="W18">
        <v>21</v>
      </c>
    </row>
    <row r="19" spans="1:23" x14ac:dyDescent="0.3">
      <c r="A19" t="s">
        <v>250</v>
      </c>
      <c r="B19" t="s">
        <v>30</v>
      </c>
      <c r="C19" t="s">
        <v>45</v>
      </c>
      <c r="D19">
        <v>7</v>
      </c>
      <c r="E19">
        <v>7</v>
      </c>
      <c r="F19">
        <v>1111</v>
      </c>
      <c r="G19">
        <f>1137+212+775+1+1+1+111</f>
        <v>2238</v>
      </c>
      <c r="H19">
        <v>0</v>
      </c>
      <c r="I19">
        <v>0</v>
      </c>
      <c r="J19">
        <v>0</v>
      </c>
      <c r="K19">
        <v>25.32</v>
      </c>
      <c r="L19">
        <v>1111</v>
      </c>
      <c r="M19">
        <v>1000</v>
      </c>
      <c r="N19" s="2">
        <v>45703</v>
      </c>
      <c r="O19" s="2">
        <v>46794</v>
      </c>
      <c r="P19" s="2">
        <v>45705</v>
      </c>
      <c r="Q19" t="s">
        <v>27</v>
      </c>
      <c r="R19">
        <v>36</v>
      </c>
      <c r="T19" t="s">
        <v>40</v>
      </c>
      <c r="U19" t="s">
        <v>202</v>
      </c>
      <c r="V19" t="s">
        <v>329</v>
      </c>
      <c r="W19">
        <v>21</v>
      </c>
    </row>
    <row r="20" spans="1:23" x14ac:dyDescent="0.3">
      <c r="A20" t="s">
        <v>249</v>
      </c>
      <c r="B20" t="s">
        <v>30</v>
      </c>
      <c r="C20" t="s">
        <v>45</v>
      </c>
      <c r="D20">
        <v>5</v>
      </c>
      <c r="E20">
        <v>5</v>
      </c>
      <c r="F20">
        <v>1010</v>
      </c>
      <c r="G20">
        <f>30+11+775+1170+100</f>
        <v>2086</v>
      </c>
      <c r="H20">
        <v>0</v>
      </c>
      <c r="I20">
        <v>0</v>
      </c>
      <c r="J20">
        <v>0</v>
      </c>
      <c r="K20">
        <v>24</v>
      </c>
      <c r="L20">
        <v>1010</v>
      </c>
      <c r="M20">
        <v>1000</v>
      </c>
      <c r="N20" s="2">
        <v>45710</v>
      </c>
      <c r="O20" s="2">
        <v>46801</v>
      </c>
      <c r="P20" s="2">
        <v>45712</v>
      </c>
      <c r="Q20" t="s">
        <v>27</v>
      </c>
      <c r="R20">
        <v>36</v>
      </c>
      <c r="T20" t="s">
        <v>40</v>
      </c>
      <c r="U20" t="s">
        <v>202</v>
      </c>
      <c r="V20" t="s">
        <v>329</v>
      </c>
      <c r="W20">
        <v>21</v>
      </c>
    </row>
    <row r="21" spans="1:23" x14ac:dyDescent="0.3">
      <c r="A21" t="s">
        <v>238</v>
      </c>
      <c r="B21" t="s">
        <v>238</v>
      </c>
      <c r="C21" t="s">
        <v>45</v>
      </c>
      <c r="D21">
        <v>24</v>
      </c>
      <c r="E21">
        <v>9</v>
      </c>
      <c r="F21">
        <v>202</v>
      </c>
      <c r="G21">
        <f>3102+5000+1+100+41+885+10+10+2</f>
        <v>9151</v>
      </c>
      <c r="H21">
        <v>299</v>
      </c>
      <c r="I21">
        <v>15</v>
      </c>
      <c r="J21">
        <f>1+1000+4+25+20+101+1+500+288+1+11+10</f>
        <v>1962</v>
      </c>
      <c r="K21">
        <v>27</v>
      </c>
      <c r="L21">
        <v>250.5</v>
      </c>
      <c r="M21">
        <v>1000</v>
      </c>
      <c r="N21" s="2">
        <v>45714</v>
      </c>
      <c r="O21" s="2">
        <v>47812</v>
      </c>
      <c r="P21" s="2">
        <v>45714</v>
      </c>
      <c r="Q21" t="s">
        <v>27</v>
      </c>
      <c r="R21">
        <v>9</v>
      </c>
      <c r="T21" t="s">
        <v>39</v>
      </c>
      <c r="V21" t="s">
        <v>329</v>
      </c>
      <c r="W21">
        <v>21</v>
      </c>
    </row>
    <row r="22" spans="1:23" x14ac:dyDescent="0.3">
      <c r="A22" t="s">
        <v>248</v>
      </c>
      <c r="B22" t="s">
        <v>30</v>
      </c>
      <c r="C22" t="s">
        <v>45</v>
      </c>
      <c r="D22">
        <v>10</v>
      </c>
      <c r="E22">
        <v>10</v>
      </c>
      <c r="F22">
        <v>1052</v>
      </c>
      <c r="G22">
        <f>116+1170+224+555+555+620+100+539+282+48</f>
        <v>4209</v>
      </c>
      <c r="H22">
        <v>0</v>
      </c>
      <c r="I22">
        <v>0</v>
      </c>
      <c r="J22">
        <v>0</v>
      </c>
      <c r="K22">
        <v>21</v>
      </c>
      <c r="L22">
        <v>1052</v>
      </c>
      <c r="M22">
        <v>1000</v>
      </c>
      <c r="N22" s="2">
        <v>45716</v>
      </c>
      <c r="O22" s="2">
        <v>46444</v>
      </c>
      <c r="P22" s="2">
        <v>45716</v>
      </c>
      <c r="Q22" t="s">
        <v>27</v>
      </c>
      <c r="R22">
        <v>24</v>
      </c>
      <c r="T22" t="s">
        <v>40</v>
      </c>
      <c r="U22" t="s">
        <v>202</v>
      </c>
      <c r="V22" t="s">
        <v>329</v>
      </c>
      <c r="W22">
        <v>21</v>
      </c>
    </row>
    <row r="23" spans="1:23" x14ac:dyDescent="0.3">
      <c r="A23" t="s">
        <v>246</v>
      </c>
      <c r="B23" t="s">
        <v>247</v>
      </c>
      <c r="C23" t="s">
        <v>45</v>
      </c>
      <c r="D23">
        <v>16</v>
      </c>
      <c r="E23">
        <v>10</v>
      </c>
      <c r="F23">
        <v>800</v>
      </c>
      <c r="G23">
        <f>6651+5000+100+2+1+12+42+5+7+15</f>
        <v>11835</v>
      </c>
      <c r="H23">
        <v>890</v>
      </c>
      <c r="I23">
        <v>6</v>
      </c>
      <c r="J23">
        <f>25+7+1+138+5+525</f>
        <v>701</v>
      </c>
      <c r="K23">
        <v>26.75</v>
      </c>
      <c r="L23">
        <v>845</v>
      </c>
      <c r="M23">
        <v>1000</v>
      </c>
      <c r="N23" s="2">
        <v>45735</v>
      </c>
      <c r="O23" s="2">
        <v>47560</v>
      </c>
      <c r="P23" s="2">
        <v>45735</v>
      </c>
      <c r="Q23" t="s">
        <v>27</v>
      </c>
      <c r="R23">
        <v>12</v>
      </c>
      <c r="T23" t="s">
        <v>39</v>
      </c>
      <c r="V23" t="s">
        <v>329</v>
      </c>
      <c r="W23">
        <v>21</v>
      </c>
    </row>
    <row r="24" spans="1:23" x14ac:dyDescent="0.3">
      <c r="A24" t="s">
        <v>245</v>
      </c>
      <c r="B24" t="s">
        <v>238</v>
      </c>
      <c r="C24" t="s">
        <v>45</v>
      </c>
      <c r="D24">
        <v>10</v>
      </c>
      <c r="E24">
        <v>10</v>
      </c>
      <c r="F24">
        <v>105</v>
      </c>
      <c r="G24">
        <f>8150+1+100+20+50+35+15+1000+10+10</f>
        <v>9391</v>
      </c>
      <c r="H24">
        <v>0</v>
      </c>
      <c r="I24">
        <v>0</v>
      </c>
      <c r="J24">
        <v>0</v>
      </c>
      <c r="K24">
        <v>26.5</v>
      </c>
      <c r="L24">
        <v>105</v>
      </c>
      <c r="M24">
        <v>1000</v>
      </c>
      <c r="N24" s="2">
        <v>45738</v>
      </c>
      <c r="O24" s="2">
        <v>47836</v>
      </c>
      <c r="P24" s="2">
        <v>45740</v>
      </c>
      <c r="Q24" t="s">
        <v>27</v>
      </c>
      <c r="R24">
        <v>9</v>
      </c>
      <c r="T24" t="s">
        <v>39</v>
      </c>
      <c r="V24" t="s">
        <v>329</v>
      </c>
      <c r="W24">
        <v>21</v>
      </c>
    </row>
    <row r="25" spans="1:23" x14ac:dyDescent="0.3">
      <c r="A25" t="s">
        <v>243</v>
      </c>
      <c r="B25" t="s">
        <v>244</v>
      </c>
      <c r="C25" t="s">
        <v>45</v>
      </c>
      <c r="D25">
        <v>28</v>
      </c>
      <c r="E25">
        <v>15</v>
      </c>
      <c r="F25">
        <v>1014</v>
      </c>
      <c r="G25">
        <f>250+36+60+100+49+20+8+60+100+25+38+5+2</f>
        <v>753</v>
      </c>
      <c r="H25">
        <v>1015</v>
      </c>
      <c r="I25">
        <v>13</v>
      </c>
      <c r="J25">
        <f>50+148+4+63+153+3+300+1+50+600+4+7+1824</f>
        <v>3207</v>
      </c>
      <c r="K25">
        <v>25</v>
      </c>
      <c r="L25">
        <v>1014.5</v>
      </c>
      <c r="M25">
        <v>1000</v>
      </c>
      <c r="N25" s="2">
        <v>45745</v>
      </c>
      <c r="O25" s="2">
        <v>46293</v>
      </c>
      <c r="P25" s="2">
        <v>45747</v>
      </c>
      <c r="Q25" t="s">
        <v>27</v>
      </c>
      <c r="R25">
        <v>18</v>
      </c>
      <c r="T25" t="s">
        <v>39</v>
      </c>
      <c r="V25" t="s">
        <v>329</v>
      </c>
      <c r="W25">
        <v>21</v>
      </c>
    </row>
    <row r="26" spans="1:23" x14ac:dyDescent="0.3">
      <c r="A26" t="s">
        <v>242</v>
      </c>
      <c r="B26" t="s">
        <v>30</v>
      </c>
      <c r="C26" t="s">
        <v>45</v>
      </c>
      <c r="D26">
        <v>5</v>
      </c>
      <c r="E26">
        <v>5</v>
      </c>
      <c r="F26">
        <v>1012</v>
      </c>
      <c r="G26">
        <f>100+966+11+575+11</f>
        <v>1663</v>
      </c>
      <c r="H26">
        <v>0</v>
      </c>
      <c r="I26">
        <v>0</v>
      </c>
      <c r="J26">
        <v>0</v>
      </c>
      <c r="K26">
        <v>20.5</v>
      </c>
      <c r="L26">
        <v>1012</v>
      </c>
      <c r="M26">
        <v>1000</v>
      </c>
      <c r="N26" s="2">
        <v>45762</v>
      </c>
      <c r="O26" s="2">
        <v>46857</v>
      </c>
      <c r="P26" s="2">
        <v>45762</v>
      </c>
      <c r="Q26" t="s">
        <v>27</v>
      </c>
      <c r="R26">
        <v>36</v>
      </c>
      <c r="T26" t="s">
        <v>40</v>
      </c>
      <c r="U26" t="s">
        <v>202</v>
      </c>
      <c r="V26" t="s">
        <v>329</v>
      </c>
      <c r="W26">
        <v>21</v>
      </c>
    </row>
    <row r="27" spans="1:23" x14ac:dyDescent="0.3">
      <c r="A27" t="s">
        <v>241</v>
      </c>
      <c r="B27" t="s">
        <v>172</v>
      </c>
      <c r="C27" t="s">
        <v>45</v>
      </c>
      <c r="D27">
        <v>28</v>
      </c>
      <c r="E27">
        <v>19</v>
      </c>
      <c r="F27">
        <v>1014</v>
      </c>
      <c r="G27">
        <f>7+1+245+5+3+203+100+100+50+5+178+36+183+38+177+60+4+183+35</f>
        <v>1613</v>
      </c>
      <c r="H27">
        <v>1020</v>
      </c>
      <c r="I27">
        <v>9</v>
      </c>
      <c r="J27">
        <f>1361+50+49+10+1+2+2056+1+11</f>
        <v>3541</v>
      </c>
      <c r="K27">
        <v>25.75</v>
      </c>
      <c r="L27">
        <v>1017</v>
      </c>
      <c r="M27">
        <v>1000</v>
      </c>
      <c r="N27" s="2">
        <v>45773</v>
      </c>
      <c r="O27" s="2">
        <v>45862</v>
      </c>
      <c r="P27" s="2">
        <v>45775</v>
      </c>
      <c r="Q27" t="s">
        <v>27</v>
      </c>
      <c r="R27">
        <v>15</v>
      </c>
      <c r="T27" t="s">
        <v>39</v>
      </c>
      <c r="V27" t="s">
        <v>329</v>
      </c>
      <c r="W27">
        <v>21</v>
      </c>
    </row>
    <row r="28" spans="1:23" x14ac:dyDescent="0.3">
      <c r="A28" t="s">
        <v>299</v>
      </c>
      <c r="B28" t="s">
        <v>300</v>
      </c>
      <c r="C28" t="s">
        <v>45</v>
      </c>
      <c r="D28">
        <v>5</v>
      </c>
      <c r="E28">
        <v>5</v>
      </c>
      <c r="F28">
        <v>5950.16</v>
      </c>
      <c r="G28">
        <f>5+1+1+1+1</f>
        <v>9</v>
      </c>
      <c r="H28">
        <v>0</v>
      </c>
      <c r="I28">
        <v>0</v>
      </c>
      <c r="J28">
        <v>0</v>
      </c>
      <c r="K28">
        <v>20</v>
      </c>
      <c r="L28">
        <v>5965</v>
      </c>
      <c r="M28" s="1">
        <v>5000</v>
      </c>
      <c r="N28" s="2">
        <v>45803</v>
      </c>
      <c r="O28" s="2">
        <v>46885</v>
      </c>
      <c r="Q28" t="s">
        <v>27</v>
      </c>
      <c r="R28">
        <v>36</v>
      </c>
      <c r="S28" t="s">
        <v>59</v>
      </c>
      <c r="T28" t="s">
        <v>233</v>
      </c>
      <c r="V28" t="s">
        <v>327</v>
      </c>
      <c r="W28">
        <v>21</v>
      </c>
    </row>
    <row r="29" spans="1:23" x14ac:dyDescent="0.3">
      <c r="A29" t="s">
        <v>15</v>
      </c>
      <c r="B29" t="s">
        <v>14</v>
      </c>
      <c r="C29" t="s">
        <v>45</v>
      </c>
      <c r="D29">
        <f>E29+I29</f>
        <v>1</v>
      </c>
      <c r="E29">
        <v>1</v>
      </c>
      <c r="F29">
        <v>1100</v>
      </c>
      <c r="G29">
        <v>34</v>
      </c>
      <c r="H29">
        <v>0</v>
      </c>
      <c r="I29">
        <v>0</v>
      </c>
      <c r="J29">
        <v>0</v>
      </c>
      <c r="K29">
        <v>24</v>
      </c>
      <c r="M29">
        <v>1100</v>
      </c>
      <c r="N29" s="2">
        <v>45803</v>
      </c>
      <c r="O29" s="2">
        <v>46168</v>
      </c>
      <c r="P29" s="2">
        <v>46168</v>
      </c>
      <c r="Q29" t="s">
        <v>27</v>
      </c>
      <c r="R29">
        <v>12</v>
      </c>
      <c r="S29" t="s">
        <v>59</v>
      </c>
      <c r="T29" t="s">
        <v>39</v>
      </c>
      <c r="V29" t="s">
        <v>328</v>
      </c>
      <c r="W29">
        <v>21</v>
      </c>
    </row>
    <row r="30" spans="1:23" x14ac:dyDescent="0.3">
      <c r="A30" t="s">
        <v>22</v>
      </c>
      <c r="B30" t="s">
        <v>321</v>
      </c>
      <c r="C30" t="s">
        <v>45</v>
      </c>
      <c r="D30">
        <f>E30+I30</f>
        <v>2</v>
      </c>
      <c r="E30">
        <v>2</v>
      </c>
      <c r="F30">
        <v>1030</v>
      </c>
      <c r="G30">
        <f>13+50</f>
        <v>63</v>
      </c>
      <c r="H30">
        <v>0</v>
      </c>
      <c r="I30">
        <v>0</v>
      </c>
      <c r="J30">
        <v>0</v>
      </c>
      <c r="K30">
        <v>29.08</v>
      </c>
      <c r="M30">
        <v>1000</v>
      </c>
      <c r="N30" s="2">
        <v>45811</v>
      </c>
      <c r="O30" s="2">
        <v>46182</v>
      </c>
      <c r="P30" s="2">
        <v>46000</v>
      </c>
      <c r="Q30" t="s">
        <v>27</v>
      </c>
      <c r="R30">
        <v>12</v>
      </c>
      <c r="S30">
        <v>23.04</v>
      </c>
      <c r="T30" t="s">
        <v>39</v>
      </c>
      <c r="V30" t="s">
        <v>328</v>
      </c>
      <c r="W30">
        <v>21</v>
      </c>
    </row>
    <row r="31" spans="1:23" x14ac:dyDescent="0.3">
      <c r="A31" t="s">
        <v>239</v>
      </c>
      <c r="B31" t="s">
        <v>30</v>
      </c>
      <c r="C31" t="s">
        <v>45</v>
      </c>
      <c r="D31">
        <v>2</v>
      </c>
      <c r="E31">
        <v>2</v>
      </c>
      <c r="F31">
        <v>1000000</v>
      </c>
      <c r="G31">
        <v>2</v>
      </c>
      <c r="H31">
        <v>0</v>
      </c>
      <c r="I31">
        <v>0</v>
      </c>
      <c r="J31">
        <v>0</v>
      </c>
      <c r="K31">
        <v>19</v>
      </c>
      <c r="L31" s="1">
        <v>1000000</v>
      </c>
      <c r="M31" s="1">
        <v>1000000</v>
      </c>
      <c r="N31" s="2">
        <v>45812</v>
      </c>
      <c r="O31" s="2">
        <v>46909</v>
      </c>
      <c r="P31" s="2">
        <v>45812</v>
      </c>
      <c r="Q31" t="s">
        <v>27</v>
      </c>
      <c r="R31">
        <v>36</v>
      </c>
      <c r="T31" t="s">
        <v>39</v>
      </c>
      <c r="U31" t="s">
        <v>202</v>
      </c>
      <c r="V31" t="s">
        <v>329</v>
      </c>
      <c r="W31">
        <v>21</v>
      </c>
    </row>
    <row r="32" spans="1:23" x14ac:dyDescent="0.3">
      <c r="A32" t="s">
        <v>240</v>
      </c>
      <c r="B32" t="s">
        <v>112</v>
      </c>
      <c r="C32" t="s">
        <v>45</v>
      </c>
      <c r="D32">
        <v>26</v>
      </c>
      <c r="E32">
        <v>13</v>
      </c>
      <c r="F32">
        <v>950</v>
      </c>
      <c r="G32">
        <f>706+1963+400+5+956+200+100+849+5+80+122+5+408</f>
        <v>5799</v>
      </c>
      <c r="H32">
        <v>985</v>
      </c>
      <c r="I32">
        <v>13</v>
      </c>
      <c r="J32">
        <f>40+160+638+35+50+1926+470+5319+200+400+6+1500+731</f>
        <v>11475</v>
      </c>
      <c r="K32">
        <v>25.5</v>
      </c>
      <c r="L32">
        <v>967.5</v>
      </c>
      <c r="M32">
        <v>1000</v>
      </c>
      <c r="N32" s="2">
        <v>45812</v>
      </c>
      <c r="O32" s="2">
        <v>46176</v>
      </c>
      <c r="P32" s="2">
        <v>45812</v>
      </c>
      <c r="Q32" t="s">
        <v>27</v>
      </c>
      <c r="R32">
        <v>12</v>
      </c>
      <c r="T32" t="s">
        <v>39</v>
      </c>
      <c r="U32" t="s">
        <v>125</v>
      </c>
      <c r="V32" t="s">
        <v>329</v>
      </c>
      <c r="W32">
        <v>21</v>
      </c>
    </row>
    <row r="33" spans="1:23" x14ac:dyDescent="0.3">
      <c r="A33" t="s">
        <v>237</v>
      </c>
      <c r="B33" t="s">
        <v>238</v>
      </c>
      <c r="C33" t="s">
        <v>45</v>
      </c>
      <c r="D33">
        <v>29</v>
      </c>
      <c r="E33">
        <v>9</v>
      </c>
      <c r="F33">
        <v>103</v>
      </c>
      <c r="G33">
        <f>3911+100+5+50+10+15+1000+10+10</f>
        <v>5111</v>
      </c>
      <c r="H33">
        <v>250</v>
      </c>
      <c r="I33">
        <v>20</v>
      </c>
      <c r="J33">
        <f>16+2+2+6</f>
        <v>26</v>
      </c>
      <c r="K33">
        <v>25</v>
      </c>
      <c r="L33">
        <v>176.5</v>
      </c>
      <c r="M33">
        <v>1000</v>
      </c>
      <c r="N33" s="2">
        <v>45820</v>
      </c>
      <c r="O33" s="2">
        <v>47553</v>
      </c>
      <c r="P33" s="2">
        <v>45824</v>
      </c>
      <c r="Q33" t="s">
        <v>27</v>
      </c>
      <c r="R33">
        <v>9</v>
      </c>
      <c r="T33" t="s">
        <v>39</v>
      </c>
      <c r="V33" t="s">
        <v>329</v>
      </c>
      <c r="W33">
        <v>20</v>
      </c>
    </row>
    <row r="34" spans="1:23" x14ac:dyDescent="0.3">
      <c r="A34" t="s">
        <v>235</v>
      </c>
      <c r="B34" t="s">
        <v>236</v>
      </c>
      <c r="C34" t="s">
        <v>45</v>
      </c>
      <c r="D34">
        <v>7</v>
      </c>
      <c r="E34">
        <v>5</v>
      </c>
      <c r="F34">
        <v>1030</v>
      </c>
      <c r="G34">
        <f>60+100+50+3+5</f>
        <v>218</v>
      </c>
      <c r="H34">
        <v>1032</v>
      </c>
      <c r="I34">
        <v>2</v>
      </c>
      <c r="J34">
        <f>95+59</f>
        <v>154</v>
      </c>
      <c r="K34">
        <v>26</v>
      </c>
      <c r="L34">
        <v>1031</v>
      </c>
      <c r="M34">
        <v>1000</v>
      </c>
      <c r="N34" s="2">
        <v>45825</v>
      </c>
      <c r="O34" s="2">
        <v>45824</v>
      </c>
      <c r="P34" s="2">
        <v>45825</v>
      </c>
      <c r="Q34" t="s">
        <v>27</v>
      </c>
      <c r="R34">
        <v>12</v>
      </c>
      <c r="T34" t="s">
        <v>39</v>
      </c>
      <c r="V34" t="s">
        <v>329</v>
      </c>
      <c r="W34">
        <v>20</v>
      </c>
    </row>
    <row r="35" spans="1:23" x14ac:dyDescent="0.3">
      <c r="A35" t="s">
        <v>285</v>
      </c>
      <c r="B35" t="s">
        <v>286</v>
      </c>
      <c r="C35" t="s">
        <v>45</v>
      </c>
      <c r="D35">
        <v>40</v>
      </c>
      <c r="E35">
        <v>20</v>
      </c>
      <c r="F35">
        <v>1011.29</v>
      </c>
      <c r="G35">
        <f>1+125+44+5+5+9+1+50+3+3+4+3+14+5+1+3+39+25+10+1</f>
        <v>351</v>
      </c>
      <c r="H35">
        <v>1020.93</v>
      </c>
      <c r="I35">
        <v>20</v>
      </c>
      <c r="J35">
        <f>7+9+395+10+70+10+100+100+70+3+6+20+1839+1+10+26+22+10+1+31</f>
        <v>2740</v>
      </c>
      <c r="K35">
        <v>24.5</v>
      </c>
      <c r="L35">
        <v>1020.93</v>
      </c>
      <c r="M35">
        <v>1000</v>
      </c>
      <c r="N35" s="2">
        <v>45826</v>
      </c>
      <c r="O35" s="2">
        <v>46195</v>
      </c>
      <c r="Q35" t="s">
        <v>27</v>
      </c>
      <c r="R35">
        <v>12</v>
      </c>
      <c r="S35">
        <v>9.39</v>
      </c>
      <c r="T35" t="s">
        <v>39</v>
      </c>
      <c r="U35" t="s">
        <v>287</v>
      </c>
      <c r="V35" t="s">
        <v>327</v>
      </c>
      <c r="W35">
        <v>20</v>
      </c>
    </row>
    <row r="36" spans="1:23" x14ac:dyDescent="0.3">
      <c r="A36" t="s">
        <v>304</v>
      </c>
      <c r="B36" t="s">
        <v>305</v>
      </c>
      <c r="C36" t="s">
        <v>45</v>
      </c>
      <c r="D36">
        <v>40</v>
      </c>
      <c r="E36">
        <v>20</v>
      </c>
      <c r="F36">
        <v>1062</v>
      </c>
      <c r="G36">
        <f>1+10+55+3+15+5+239+61+5+1+2+1+7+2+2+1+1+1+1</f>
        <v>413</v>
      </c>
      <c r="H36">
        <v>1080</v>
      </c>
      <c r="I36">
        <v>20</v>
      </c>
      <c r="J36">
        <f>218+55+52+57+4+2+38+1+5+60+3+10+282+1+52+1+4645+6+8+93</f>
        <v>5593</v>
      </c>
      <c r="K36">
        <v>21.5</v>
      </c>
      <c r="L36">
        <v>1076</v>
      </c>
      <c r="M36">
        <v>1000</v>
      </c>
      <c r="N36" s="2">
        <v>45827</v>
      </c>
      <c r="O36" s="2">
        <v>46195</v>
      </c>
      <c r="Q36" t="s">
        <v>27</v>
      </c>
      <c r="R36">
        <v>12</v>
      </c>
      <c r="S36">
        <v>8.24</v>
      </c>
      <c r="T36" t="s">
        <v>39</v>
      </c>
      <c r="U36" t="s">
        <v>306</v>
      </c>
      <c r="V36" t="s">
        <v>327</v>
      </c>
      <c r="W36">
        <v>20</v>
      </c>
    </row>
    <row r="37" spans="1:23" x14ac:dyDescent="0.3">
      <c r="A37" t="s">
        <v>232</v>
      </c>
      <c r="B37" t="s">
        <v>196</v>
      </c>
      <c r="C37" t="s">
        <v>45</v>
      </c>
      <c r="D37">
        <v>10</v>
      </c>
      <c r="E37">
        <v>5</v>
      </c>
      <c r="F37">
        <v>1004</v>
      </c>
      <c r="G37">
        <f>1+5+608+15+1000</f>
        <v>1629</v>
      </c>
      <c r="H37">
        <v>1029</v>
      </c>
      <c r="I37">
        <v>5</v>
      </c>
      <c r="J37">
        <f>900+530+1+7+1001</f>
        <v>2439</v>
      </c>
      <c r="K37">
        <v>20</v>
      </c>
      <c r="L37">
        <v>1016.5</v>
      </c>
      <c r="M37">
        <v>1000</v>
      </c>
      <c r="N37" s="2">
        <v>45839</v>
      </c>
      <c r="O37" s="2">
        <v>46203</v>
      </c>
      <c r="P37" s="2">
        <v>45839</v>
      </c>
      <c r="Q37" t="s">
        <v>27</v>
      </c>
      <c r="R37">
        <v>12</v>
      </c>
      <c r="T37" t="s">
        <v>233</v>
      </c>
      <c r="U37" t="s">
        <v>197</v>
      </c>
      <c r="V37" t="s">
        <v>329</v>
      </c>
      <c r="W37">
        <v>20</v>
      </c>
    </row>
    <row r="38" spans="1:23" x14ac:dyDescent="0.3">
      <c r="A38" t="s">
        <v>234</v>
      </c>
      <c r="B38" t="s">
        <v>228</v>
      </c>
      <c r="C38" t="s">
        <v>45</v>
      </c>
      <c r="D38">
        <v>3</v>
      </c>
      <c r="E38">
        <v>3</v>
      </c>
      <c r="F38">
        <v>1000</v>
      </c>
      <c r="G38">
        <f>105+500+141</f>
        <v>746</v>
      </c>
      <c r="H38">
        <v>0</v>
      </c>
      <c r="I38">
        <v>0</v>
      </c>
      <c r="J38">
        <v>0</v>
      </c>
      <c r="K38">
        <v>21</v>
      </c>
      <c r="L38">
        <v>1000</v>
      </c>
      <c r="M38">
        <v>1000</v>
      </c>
      <c r="N38" s="2">
        <v>45839</v>
      </c>
      <c r="O38" s="2">
        <v>46203</v>
      </c>
      <c r="P38" s="2">
        <v>45839</v>
      </c>
      <c r="Q38" t="s">
        <v>27</v>
      </c>
      <c r="R38">
        <v>12</v>
      </c>
      <c r="T38" t="s">
        <v>39</v>
      </c>
      <c r="V38" t="s">
        <v>329</v>
      </c>
      <c r="W38">
        <v>20</v>
      </c>
    </row>
    <row r="39" spans="1:23" x14ac:dyDescent="0.3">
      <c r="A39" t="s">
        <v>231</v>
      </c>
      <c r="B39" t="s">
        <v>175</v>
      </c>
      <c r="C39" t="s">
        <v>45</v>
      </c>
      <c r="D39">
        <v>19</v>
      </c>
      <c r="E39">
        <v>10</v>
      </c>
      <c r="F39">
        <v>1015</v>
      </c>
      <c r="G39">
        <f>45+1+150+100+19+3+100+32+190+100</f>
        <v>740</v>
      </c>
      <c r="H39">
        <v>1033</v>
      </c>
      <c r="I39">
        <v>9</v>
      </c>
      <c r="J39">
        <f>193+10+1+1+167+1000+1000+1000+1000</f>
        <v>4372</v>
      </c>
      <c r="K39">
        <v>24</v>
      </c>
      <c r="L39">
        <v>1024</v>
      </c>
      <c r="M39">
        <v>1000</v>
      </c>
      <c r="N39" s="2">
        <v>45850</v>
      </c>
      <c r="O39" s="2">
        <v>46213</v>
      </c>
      <c r="P39" s="2">
        <v>45852</v>
      </c>
      <c r="Q39" t="s">
        <v>27</v>
      </c>
      <c r="R39">
        <v>12</v>
      </c>
      <c r="T39" t="s">
        <v>39</v>
      </c>
      <c r="V39" t="s">
        <v>329</v>
      </c>
      <c r="W39">
        <v>20</v>
      </c>
    </row>
    <row r="40" spans="1:23" x14ac:dyDescent="0.3">
      <c r="A40" t="s">
        <v>229</v>
      </c>
      <c r="B40" t="s">
        <v>230</v>
      </c>
      <c r="C40" t="s">
        <v>45</v>
      </c>
      <c r="D40">
        <v>5</v>
      </c>
      <c r="E40">
        <v>4</v>
      </c>
      <c r="F40">
        <v>1006</v>
      </c>
      <c r="G40">
        <f>1+5+64+50</f>
        <v>120</v>
      </c>
      <c r="H40">
        <v>1033</v>
      </c>
      <c r="I40">
        <v>1</v>
      </c>
      <c r="J40">
        <v>17</v>
      </c>
      <c r="K40">
        <v>23.75</v>
      </c>
      <c r="L40">
        <v>1019.5</v>
      </c>
      <c r="M40">
        <v>1000</v>
      </c>
      <c r="N40" s="2">
        <v>45854</v>
      </c>
      <c r="O40" s="2">
        <v>46218</v>
      </c>
      <c r="P40" s="2">
        <v>45854</v>
      </c>
      <c r="Q40" t="s">
        <v>27</v>
      </c>
      <c r="R40">
        <v>12</v>
      </c>
      <c r="T40" t="s">
        <v>39</v>
      </c>
      <c r="V40" t="s">
        <v>329</v>
      </c>
      <c r="W40">
        <v>20</v>
      </c>
    </row>
    <row r="41" spans="1:23" x14ac:dyDescent="0.3">
      <c r="A41" t="s">
        <v>226</v>
      </c>
      <c r="B41" t="s">
        <v>30</v>
      </c>
      <c r="C41" t="s">
        <v>45</v>
      </c>
      <c r="D41">
        <v>6</v>
      </c>
      <c r="E41">
        <v>5</v>
      </c>
      <c r="F41">
        <v>940</v>
      </c>
      <c r="G41">
        <f>1+50+336+555+110</f>
        <v>1052</v>
      </c>
      <c r="H41">
        <v>1200</v>
      </c>
      <c r="I41">
        <v>1</v>
      </c>
      <c r="J41">
        <v>1</v>
      </c>
      <c r="K41">
        <v>15</v>
      </c>
      <c r="L41">
        <v>1070</v>
      </c>
      <c r="M41">
        <v>1000</v>
      </c>
      <c r="N41" s="2">
        <v>45863</v>
      </c>
      <c r="O41" s="2">
        <v>46959</v>
      </c>
      <c r="P41" s="2">
        <v>45863</v>
      </c>
      <c r="Q41" t="s">
        <v>27</v>
      </c>
      <c r="R41">
        <v>36</v>
      </c>
      <c r="T41" t="s">
        <v>40</v>
      </c>
      <c r="U41" t="s">
        <v>202</v>
      </c>
      <c r="V41" t="s">
        <v>329</v>
      </c>
      <c r="W41">
        <v>20</v>
      </c>
    </row>
    <row r="42" spans="1:23" x14ac:dyDescent="0.3">
      <c r="A42" t="s">
        <v>225</v>
      </c>
      <c r="B42" t="s">
        <v>30</v>
      </c>
      <c r="C42" t="s">
        <v>45</v>
      </c>
      <c r="D42">
        <v>6</v>
      </c>
      <c r="E42">
        <v>6</v>
      </c>
      <c r="F42">
        <v>1004</v>
      </c>
      <c r="G42">
        <f>200+50+555+7+525+100</f>
        <v>1437</v>
      </c>
      <c r="H42">
        <v>0</v>
      </c>
      <c r="I42">
        <v>0</v>
      </c>
      <c r="J42">
        <v>0</v>
      </c>
      <c r="K42">
        <v>14.5</v>
      </c>
      <c r="L42">
        <v>1004</v>
      </c>
      <c r="M42">
        <v>1000</v>
      </c>
      <c r="N42" s="2">
        <v>45869</v>
      </c>
      <c r="O42" s="2">
        <v>46203</v>
      </c>
      <c r="P42" s="2">
        <v>45869</v>
      </c>
      <c r="Q42" t="s">
        <v>27</v>
      </c>
      <c r="R42">
        <v>12</v>
      </c>
      <c r="T42" t="s">
        <v>40</v>
      </c>
      <c r="U42" t="s">
        <v>202</v>
      </c>
      <c r="V42" t="s">
        <v>329</v>
      </c>
      <c r="W42">
        <v>18</v>
      </c>
    </row>
    <row r="43" spans="1:23" x14ac:dyDescent="0.3">
      <c r="A43" t="s">
        <v>224</v>
      </c>
      <c r="B43" t="s">
        <v>51</v>
      </c>
      <c r="C43" t="s">
        <v>45</v>
      </c>
      <c r="D43">
        <v>18</v>
      </c>
      <c r="E43">
        <v>7</v>
      </c>
      <c r="F43">
        <v>1000</v>
      </c>
      <c r="G43">
        <f>200+500+32+50+45+25+5</f>
        <v>857</v>
      </c>
      <c r="H43">
        <v>1010</v>
      </c>
      <c r="I43">
        <v>11</v>
      </c>
      <c r="J43">
        <f>100+1+2+3+5+10+100+44+786+769+103</f>
        <v>1923</v>
      </c>
      <c r="K43">
        <v>22.5</v>
      </c>
      <c r="L43">
        <v>1005</v>
      </c>
      <c r="M43">
        <v>1000</v>
      </c>
      <c r="N43" s="2">
        <v>45873</v>
      </c>
      <c r="O43" s="2">
        <v>46238</v>
      </c>
      <c r="P43" s="2">
        <v>45874</v>
      </c>
      <c r="Q43" t="s">
        <v>27</v>
      </c>
      <c r="R43">
        <v>12</v>
      </c>
      <c r="T43" t="s">
        <v>39</v>
      </c>
      <c r="V43" t="s">
        <v>329</v>
      </c>
      <c r="W43">
        <v>18</v>
      </c>
    </row>
    <row r="44" spans="1:23" x14ac:dyDescent="0.3">
      <c r="A44" t="s">
        <v>222</v>
      </c>
      <c r="B44" t="s">
        <v>112</v>
      </c>
      <c r="C44" t="s">
        <v>45</v>
      </c>
      <c r="D44">
        <v>32</v>
      </c>
      <c r="E44">
        <v>2</v>
      </c>
      <c r="F44">
        <v>801</v>
      </c>
      <c r="G44">
        <v>301</v>
      </c>
      <c r="H44">
        <v>849</v>
      </c>
      <c r="I44">
        <v>30</v>
      </c>
      <c r="J44">
        <f>40+500+45+4+310+400+234+5+11+100+33+2294+100+200+13+3+1+1+1174+1+2500+396+851+19399+100+500+101+10+3+1</f>
        <v>29330</v>
      </c>
      <c r="K44">
        <v>21.5</v>
      </c>
      <c r="L44">
        <v>825</v>
      </c>
      <c r="M44">
        <v>1000</v>
      </c>
      <c r="N44" s="2">
        <v>45876</v>
      </c>
      <c r="O44" s="2">
        <v>46241</v>
      </c>
      <c r="P44" s="2">
        <v>45877</v>
      </c>
      <c r="Q44" t="s">
        <v>27</v>
      </c>
      <c r="R44">
        <v>12</v>
      </c>
      <c r="T44" t="s">
        <v>39</v>
      </c>
      <c r="U44" t="s">
        <v>125</v>
      </c>
      <c r="V44" t="s">
        <v>329</v>
      </c>
      <c r="W44">
        <v>18</v>
      </c>
    </row>
    <row r="45" spans="1:23" x14ac:dyDescent="0.3">
      <c r="A45" t="s">
        <v>223</v>
      </c>
      <c r="B45" t="s">
        <v>30</v>
      </c>
      <c r="C45" t="s">
        <v>45</v>
      </c>
      <c r="D45">
        <v>5</v>
      </c>
      <c r="E45">
        <v>4</v>
      </c>
      <c r="F45">
        <v>980</v>
      </c>
      <c r="G45">
        <f>200+1000+101+110</f>
        <v>1411</v>
      </c>
      <c r="H45">
        <v>1050</v>
      </c>
      <c r="I45">
        <v>1</v>
      </c>
      <c r="J45">
        <v>47</v>
      </c>
      <c r="K45">
        <v>13.33</v>
      </c>
      <c r="L45">
        <v>1015</v>
      </c>
      <c r="M45">
        <v>1000</v>
      </c>
      <c r="N45" s="2">
        <v>45880</v>
      </c>
      <c r="O45" s="2">
        <v>46245</v>
      </c>
      <c r="P45" s="2">
        <v>46246</v>
      </c>
      <c r="Q45" t="s">
        <v>27</v>
      </c>
      <c r="R45">
        <v>12</v>
      </c>
      <c r="T45" t="s">
        <v>39</v>
      </c>
      <c r="U45" t="s">
        <v>202</v>
      </c>
      <c r="V45" t="s">
        <v>329</v>
      </c>
      <c r="W45">
        <v>18</v>
      </c>
    </row>
    <row r="46" spans="1:23" x14ac:dyDescent="0.3">
      <c r="A46" t="s">
        <v>222</v>
      </c>
      <c r="B46" t="s">
        <v>112</v>
      </c>
      <c r="C46" t="s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21.5</v>
      </c>
      <c r="L46">
        <v>1000</v>
      </c>
      <c r="M46">
        <v>1000</v>
      </c>
      <c r="N46" s="2">
        <v>45885</v>
      </c>
      <c r="O46" s="2">
        <v>46248</v>
      </c>
      <c r="P46" s="2">
        <v>45887</v>
      </c>
      <c r="Q46" t="s">
        <v>27</v>
      </c>
      <c r="R46">
        <v>12</v>
      </c>
      <c r="T46" t="s">
        <v>40</v>
      </c>
      <c r="U46" t="s">
        <v>125</v>
      </c>
      <c r="V46" t="s">
        <v>329</v>
      </c>
      <c r="W46">
        <v>18</v>
      </c>
    </row>
    <row r="47" spans="1:23" x14ac:dyDescent="0.3">
      <c r="A47" t="s">
        <v>227</v>
      </c>
      <c r="B47" t="s">
        <v>228</v>
      </c>
      <c r="C47" t="s">
        <v>45</v>
      </c>
      <c r="D47">
        <v>6</v>
      </c>
      <c r="E47">
        <v>6</v>
      </c>
      <c r="F47">
        <v>1003</v>
      </c>
      <c r="G47">
        <f>3+50+1+50+500+210</f>
        <v>814</v>
      </c>
      <c r="H47">
        <v>0</v>
      </c>
      <c r="I47">
        <v>0</v>
      </c>
      <c r="J47">
        <v>0</v>
      </c>
      <c r="K47">
        <v>19.5</v>
      </c>
      <c r="L47">
        <v>1003</v>
      </c>
      <c r="M47">
        <v>1000</v>
      </c>
      <c r="N47" s="2">
        <v>45886</v>
      </c>
      <c r="O47" s="2">
        <v>46220</v>
      </c>
      <c r="P47" s="2">
        <v>45856</v>
      </c>
      <c r="Q47" t="s">
        <v>27</v>
      </c>
      <c r="R47">
        <v>12</v>
      </c>
      <c r="T47" t="s">
        <v>39</v>
      </c>
      <c r="V47" t="s">
        <v>329</v>
      </c>
      <c r="W47">
        <v>18</v>
      </c>
    </row>
    <row r="48" spans="1:23" x14ac:dyDescent="0.3">
      <c r="A48" t="s">
        <v>221</v>
      </c>
      <c r="B48" t="s">
        <v>30</v>
      </c>
      <c r="C48" t="s">
        <v>45</v>
      </c>
      <c r="D48">
        <v>5</v>
      </c>
      <c r="E48">
        <v>5</v>
      </c>
      <c r="F48">
        <v>1002</v>
      </c>
      <c r="G48">
        <f>100+555+4+525+10</f>
        <v>1194</v>
      </c>
      <c r="H48">
        <v>0</v>
      </c>
      <c r="I48">
        <v>0</v>
      </c>
      <c r="J48">
        <v>0</v>
      </c>
      <c r="K48">
        <v>14.1</v>
      </c>
      <c r="L48">
        <v>1002</v>
      </c>
      <c r="M48">
        <v>1000</v>
      </c>
      <c r="N48" s="2">
        <v>45888</v>
      </c>
      <c r="O48" s="2">
        <v>46252</v>
      </c>
      <c r="P48" s="2">
        <v>45888</v>
      </c>
      <c r="Q48" t="s">
        <v>27</v>
      </c>
      <c r="R48">
        <v>12</v>
      </c>
      <c r="T48" t="s">
        <v>40</v>
      </c>
      <c r="U48" t="s">
        <v>202</v>
      </c>
      <c r="V48" t="s">
        <v>329</v>
      </c>
      <c r="W48">
        <v>18</v>
      </c>
    </row>
    <row r="49" spans="1:23" x14ac:dyDescent="0.3">
      <c r="A49" t="s">
        <v>290</v>
      </c>
      <c r="B49" t="s">
        <v>286</v>
      </c>
      <c r="C49" t="s">
        <v>45</v>
      </c>
      <c r="D49">
        <v>40</v>
      </c>
      <c r="E49">
        <v>20</v>
      </c>
      <c r="F49">
        <v>1012.62</v>
      </c>
      <c r="G49">
        <f>1+20+2+46+10+10+50+10+11+5+54+1+2+34+1+1+11+1+1+1</f>
        <v>272</v>
      </c>
      <c r="H49">
        <v>1018.99</v>
      </c>
      <c r="I49">
        <v>20</v>
      </c>
      <c r="J49">
        <f>2+475+1+1+1+70+30+3+85+1+2+5+1+7+208+50+158+1078+2+27</f>
        <v>2207</v>
      </c>
      <c r="K49">
        <v>21</v>
      </c>
      <c r="L49">
        <v>1019</v>
      </c>
      <c r="M49">
        <v>1000</v>
      </c>
      <c r="N49" s="2">
        <v>45888</v>
      </c>
      <c r="O49" s="2">
        <v>46346</v>
      </c>
      <c r="Q49" t="s">
        <v>27</v>
      </c>
      <c r="R49">
        <v>15</v>
      </c>
      <c r="S49">
        <v>6.32</v>
      </c>
      <c r="T49" t="s">
        <v>39</v>
      </c>
      <c r="U49" t="s">
        <v>287</v>
      </c>
      <c r="V49" t="s">
        <v>327</v>
      </c>
      <c r="W49">
        <v>18</v>
      </c>
    </row>
    <row r="50" spans="1:23" x14ac:dyDescent="0.3">
      <c r="A50" t="s">
        <v>220</v>
      </c>
      <c r="B50" t="s">
        <v>30</v>
      </c>
      <c r="C50" t="s">
        <v>45</v>
      </c>
      <c r="D50">
        <v>7</v>
      </c>
      <c r="E50">
        <v>7</v>
      </c>
      <c r="F50">
        <v>1003</v>
      </c>
      <c r="G50">
        <f>50+50+555+6+605+1055+10</f>
        <v>2331</v>
      </c>
      <c r="H50">
        <v>0</v>
      </c>
      <c r="I50">
        <v>0</v>
      </c>
      <c r="J50">
        <v>0</v>
      </c>
      <c r="K50">
        <v>14.07</v>
      </c>
      <c r="L50">
        <v>1003</v>
      </c>
      <c r="M50">
        <v>1000</v>
      </c>
      <c r="N50" s="2">
        <v>45889</v>
      </c>
      <c r="O50" s="2">
        <v>46253</v>
      </c>
      <c r="P50" s="2">
        <v>45889</v>
      </c>
      <c r="Q50" t="s">
        <v>27</v>
      </c>
      <c r="R50">
        <v>12</v>
      </c>
      <c r="T50" t="s">
        <v>40</v>
      </c>
      <c r="U50" t="s">
        <v>202</v>
      </c>
      <c r="V50" t="s">
        <v>329</v>
      </c>
      <c r="W50">
        <v>18</v>
      </c>
    </row>
    <row r="51" spans="1:23" x14ac:dyDescent="0.3">
      <c r="A51" t="s">
        <v>219</v>
      </c>
      <c r="B51" t="s">
        <v>112</v>
      </c>
      <c r="C51" t="s">
        <v>45</v>
      </c>
      <c r="D51">
        <v>2</v>
      </c>
      <c r="E51">
        <v>2</v>
      </c>
      <c r="F51">
        <v>1000</v>
      </c>
      <c r="G51">
        <v>0</v>
      </c>
      <c r="H51">
        <v>0</v>
      </c>
      <c r="I51">
        <v>0</v>
      </c>
      <c r="J51">
        <v>0</v>
      </c>
      <c r="K51">
        <v>21.5</v>
      </c>
      <c r="L51">
        <v>1000</v>
      </c>
      <c r="M51">
        <v>1000</v>
      </c>
      <c r="N51" s="2">
        <v>45898</v>
      </c>
      <c r="O51" s="2">
        <v>46262</v>
      </c>
      <c r="P51" s="2">
        <v>45901</v>
      </c>
      <c r="Q51" t="s">
        <v>27</v>
      </c>
      <c r="R51">
        <v>12</v>
      </c>
      <c r="T51" t="s">
        <v>40</v>
      </c>
      <c r="U51" t="s">
        <v>125</v>
      </c>
      <c r="V51" t="s">
        <v>329</v>
      </c>
      <c r="W51">
        <v>18</v>
      </c>
    </row>
    <row r="52" spans="1:23" x14ac:dyDescent="0.3">
      <c r="A52" t="s">
        <v>217</v>
      </c>
      <c r="B52" t="s">
        <v>51</v>
      </c>
      <c r="C52" t="s">
        <v>45</v>
      </c>
      <c r="D52">
        <v>24</v>
      </c>
      <c r="E52">
        <v>13</v>
      </c>
      <c r="F52">
        <v>989</v>
      </c>
      <c r="G52">
        <f>50+6+5+31+10+5+14+5+2+1+6+30+600</f>
        <v>765</v>
      </c>
      <c r="H52">
        <v>1000</v>
      </c>
      <c r="I52">
        <v>11</v>
      </c>
      <c r="J52">
        <f>421+500+500+500+764+1+100+30+10+1+1</f>
        <v>2828</v>
      </c>
      <c r="K52">
        <v>20.5</v>
      </c>
      <c r="L52">
        <v>994.5</v>
      </c>
      <c r="M52">
        <v>1000</v>
      </c>
      <c r="N52" s="2">
        <v>45901</v>
      </c>
      <c r="O52" s="2">
        <v>46266</v>
      </c>
      <c r="P52" s="2">
        <v>46267</v>
      </c>
      <c r="Q52" t="s">
        <v>27</v>
      </c>
      <c r="R52">
        <v>12</v>
      </c>
      <c r="T52" t="s">
        <v>39</v>
      </c>
      <c r="V52" t="s">
        <v>329</v>
      </c>
      <c r="W52">
        <v>18</v>
      </c>
    </row>
    <row r="53" spans="1:23" x14ac:dyDescent="0.3">
      <c r="A53" t="s">
        <v>216</v>
      </c>
      <c r="B53" t="s">
        <v>127</v>
      </c>
      <c r="C53" t="s">
        <v>45</v>
      </c>
      <c r="D53">
        <v>18</v>
      </c>
      <c r="E53">
        <v>8</v>
      </c>
      <c r="F53">
        <v>1015</v>
      </c>
      <c r="G53">
        <f>1+1+10+50+20+10+500+200</f>
        <v>792</v>
      </c>
      <c r="H53">
        <v>1020</v>
      </c>
      <c r="I53">
        <v>10</v>
      </c>
      <c r="J53">
        <f>10+255+3+100+10+7+5+3+1+100+120</f>
        <v>614</v>
      </c>
      <c r="K53">
        <v>19.5</v>
      </c>
      <c r="L53">
        <v>1015</v>
      </c>
      <c r="M53">
        <v>1000</v>
      </c>
      <c r="N53" s="2">
        <v>45908</v>
      </c>
      <c r="O53" s="2">
        <v>46273</v>
      </c>
      <c r="P53" s="2">
        <v>45909</v>
      </c>
      <c r="Q53" t="s">
        <v>27</v>
      </c>
      <c r="R53">
        <v>12</v>
      </c>
      <c r="T53" t="s">
        <v>39</v>
      </c>
      <c r="V53" t="s">
        <v>329</v>
      </c>
      <c r="W53">
        <v>18</v>
      </c>
    </row>
    <row r="54" spans="1:23" x14ac:dyDescent="0.3">
      <c r="A54" t="s">
        <v>212</v>
      </c>
      <c r="B54" t="s">
        <v>213</v>
      </c>
      <c r="C54" t="s">
        <v>45</v>
      </c>
      <c r="D54">
        <v>10</v>
      </c>
      <c r="E54">
        <v>8</v>
      </c>
      <c r="F54">
        <v>1010</v>
      </c>
      <c r="G54">
        <f>60+11+50+50+1+32+210</f>
        <v>414</v>
      </c>
      <c r="H54">
        <v>1027</v>
      </c>
      <c r="I54">
        <v>2</v>
      </c>
      <c r="J54">
        <v>10</v>
      </c>
      <c r="K54">
        <v>21.5</v>
      </c>
      <c r="L54">
        <v>1018.5</v>
      </c>
      <c r="M54">
        <v>1000</v>
      </c>
      <c r="N54" s="2">
        <v>45912</v>
      </c>
      <c r="O54" s="2">
        <v>46276</v>
      </c>
      <c r="P54" s="2">
        <v>45915</v>
      </c>
      <c r="Q54" t="s">
        <v>27</v>
      </c>
      <c r="R54">
        <v>12</v>
      </c>
      <c r="T54" t="s">
        <v>39</v>
      </c>
      <c r="U54" t="s">
        <v>214</v>
      </c>
      <c r="V54" t="s">
        <v>329</v>
      </c>
      <c r="W54">
        <v>18</v>
      </c>
    </row>
    <row r="55" spans="1:23" x14ac:dyDescent="0.3">
      <c r="A55" t="s">
        <v>215</v>
      </c>
      <c r="B55" t="s">
        <v>30</v>
      </c>
      <c r="C55" t="s">
        <v>45</v>
      </c>
      <c r="D55">
        <v>6</v>
      </c>
      <c r="E55">
        <v>6</v>
      </c>
      <c r="F55">
        <v>1003</v>
      </c>
      <c r="G55">
        <f>200+555+5+6+555+10</f>
        <v>1331</v>
      </c>
      <c r="H55">
        <v>0</v>
      </c>
      <c r="I55">
        <v>0</v>
      </c>
      <c r="J55">
        <v>0</v>
      </c>
      <c r="K55">
        <v>15.15</v>
      </c>
      <c r="L55">
        <v>1003</v>
      </c>
      <c r="M55">
        <v>1000</v>
      </c>
      <c r="N55" s="2">
        <v>45912</v>
      </c>
      <c r="O55" s="2">
        <v>45911</v>
      </c>
      <c r="P55" s="2">
        <v>45912</v>
      </c>
      <c r="Q55" t="s">
        <v>27</v>
      </c>
      <c r="R55">
        <v>12</v>
      </c>
      <c r="T55" t="s">
        <v>40</v>
      </c>
      <c r="U55" t="s">
        <v>202</v>
      </c>
      <c r="V55" t="s">
        <v>329</v>
      </c>
      <c r="W55">
        <v>18</v>
      </c>
    </row>
    <row r="56" spans="1:23" x14ac:dyDescent="0.3">
      <c r="A56" t="s">
        <v>296</v>
      </c>
      <c r="B56" t="s">
        <v>297</v>
      </c>
      <c r="C56" t="s">
        <v>45</v>
      </c>
      <c r="D56">
        <v>40</v>
      </c>
      <c r="E56">
        <v>20</v>
      </c>
      <c r="F56">
        <v>1007.26</v>
      </c>
      <c r="G56">
        <f>1+1+3+1+5+15+2+35+20+1+1+2+1+1+16+11+16+1+32+2</f>
        <v>167</v>
      </c>
      <c r="H56">
        <v>1008.99</v>
      </c>
      <c r="I56">
        <v>20</v>
      </c>
      <c r="J56">
        <f>1+166+26+1+1+1+1+1+1+2+32+11+78+1+7+10+4+2+2+5</f>
        <v>353</v>
      </c>
      <c r="K56">
        <v>19</v>
      </c>
      <c r="L56">
        <v>1009</v>
      </c>
      <c r="M56">
        <v>1000</v>
      </c>
      <c r="N56" s="2">
        <v>45915</v>
      </c>
      <c r="O56" s="2">
        <v>46279</v>
      </c>
      <c r="Q56" t="s">
        <v>27</v>
      </c>
      <c r="R56">
        <v>12</v>
      </c>
      <c r="S56">
        <v>10.41</v>
      </c>
      <c r="T56" t="s">
        <v>39</v>
      </c>
      <c r="V56" t="s">
        <v>327</v>
      </c>
      <c r="W56">
        <v>17</v>
      </c>
    </row>
    <row r="57" spans="1:23" x14ac:dyDescent="0.3">
      <c r="A57" t="s">
        <v>211</v>
      </c>
      <c r="B57" t="s">
        <v>157</v>
      </c>
      <c r="C57" t="s">
        <v>45</v>
      </c>
      <c r="D57">
        <v>19</v>
      </c>
      <c r="E57">
        <v>10</v>
      </c>
      <c r="F57">
        <v>992</v>
      </c>
      <c r="G57">
        <f>404+50+134+1+76+250+20+32+100+400</f>
        <v>1467</v>
      </c>
      <c r="H57">
        <v>1024</v>
      </c>
      <c r="I57">
        <v>9</v>
      </c>
      <c r="J57">
        <f>1+12+10+153+50+30+248+3+1</f>
        <v>508</v>
      </c>
      <c r="K57">
        <v>17.5</v>
      </c>
      <c r="L57">
        <v>1008</v>
      </c>
      <c r="M57">
        <v>1000</v>
      </c>
      <c r="N57" s="2">
        <v>45919</v>
      </c>
      <c r="O57" s="2">
        <v>46283</v>
      </c>
      <c r="P57" s="2">
        <v>45922</v>
      </c>
      <c r="Q57" t="s">
        <v>27</v>
      </c>
      <c r="R57">
        <v>12</v>
      </c>
      <c r="T57" t="s">
        <v>39</v>
      </c>
      <c r="U57" t="s">
        <v>158</v>
      </c>
      <c r="V57" t="s">
        <v>329</v>
      </c>
      <c r="W57">
        <v>17</v>
      </c>
    </row>
    <row r="58" spans="1:23" x14ac:dyDescent="0.3">
      <c r="A58" t="s">
        <v>208</v>
      </c>
      <c r="B58" t="s">
        <v>209</v>
      </c>
      <c r="C58" t="s">
        <v>45</v>
      </c>
      <c r="D58">
        <v>9</v>
      </c>
      <c r="E58">
        <v>8</v>
      </c>
      <c r="F58">
        <v>1024</v>
      </c>
      <c r="G58">
        <f>42+1+300+49+19+20+100+252</f>
        <v>783</v>
      </c>
      <c r="H58">
        <v>1026</v>
      </c>
      <c r="I58">
        <v>1</v>
      </c>
      <c r="J58">
        <v>1</v>
      </c>
      <c r="K58">
        <v>19</v>
      </c>
      <c r="L58">
        <v>1025</v>
      </c>
      <c r="M58">
        <v>1000</v>
      </c>
      <c r="N58" s="2">
        <v>45924</v>
      </c>
      <c r="O58" s="2">
        <v>46289</v>
      </c>
      <c r="P58" s="2">
        <v>45925</v>
      </c>
      <c r="Q58" t="s">
        <v>27</v>
      </c>
      <c r="R58">
        <v>12</v>
      </c>
      <c r="T58" t="s">
        <v>39</v>
      </c>
      <c r="V58" t="s">
        <v>329</v>
      </c>
      <c r="W58">
        <v>17</v>
      </c>
    </row>
    <row r="59" spans="1:23" x14ac:dyDescent="0.3">
      <c r="A59" t="s">
        <v>210</v>
      </c>
      <c r="B59" t="s">
        <v>181</v>
      </c>
      <c r="C59" t="s">
        <v>45</v>
      </c>
      <c r="D59">
        <v>21</v>
      </c>
      <c r="E59">
        <v>9</v>
      </c>
      <c r="F59">
        <v>915</v>
      </c>
      <c r="G59">
        <f>24+4+3+4+130+401+20+15+4</f>
        <v>605</v>
      </c>
      <c r="H59">
        <v>946</v>
      </c>
      <c r="I59">
        <v>12</v>
      </c>
      <c r="J59">
        <f>5+10+100+50+10+100+1+100+100+115+100+100</f>
        <v>791</v>
      </c>
      <c r="K59">
        <v>21.25</v>
      </c>
      <c r="L59">
        <v>930.5</v>
      </c>
      <c r="M59">
        <v>900</v>
      </c>
      <c r="N59" s="2">
        <v>45924</v>
      </c>
      <c r="O59" s="2">
        <v>46227</v>
      </c>
      <c r="P59" s="2">
        <v>45925</v>
      </c>
      <c r="Q59" t="s">
        <v>27</v>
      </c>
      <c r="R59">
        <v>10</v>
      </c>
      <c r="T59" t="s">
        <v>39</v>
      </c>
      <c r="V59" t="s">
        <v>329</v>
      </c>
      <c r="W59">
        <v>17</v>
      </c>
    </row>
    <row r="60" spans="1:23" x14ac:dyDescent="0.3">
      <c r="A60" t="s">
        <v>206</v>
      </c>
      <c r="B60" t="s">
        <v>207</v>
      </c>
      <c r="C60" t="s">
        <v>45</v>
      </c>
      <c r="D60">
        <v>11</v>
      </c>
      <c r="E60">
        <v>6</v>
      </c>
      <c r="F60">
        <v>1000</v>
      </c>
      <c r="G60">
        <f>42+10+13+48+7+50</f>
        <v>170</v>
      </c>
      <c r="H60">
        <v>1009</v>
      </c>
      <c r="I60">
        <v>5</v>
      </c>
      <c r="J60">
        <f>362+2450+10+4+1</f>
        <v>2827</v>
      </c>
      <c r="K60">
        <v>20.25</v>
      </c>
      <c r="L60">
        <v>1004.5</v>
      </c>
      <c r="M60">
        <v>1000</v>
      </c>
      <c r="N60" s="2">
        <v>45926</v>
      </c>
      <c r="O60" s="2">
        <v>45925</v>
      </c>
      <c r="P60" s="2">
        <v>45929</v>
      </c>
      <c r="Q60" t="s">
        <v>27</v>
      </c>
      <c r="R60">
        <v>12</v>
      </c>
      <c r="T60" t="s">
        <v>39</v>
      </c>
      <c r="V60" t="s">
        <v>329</v>
      </c>
      <c r="W60">
        <v>17</v>
      </c>
    </row>
    <row r="61" spans="1:23" x14ac:dyDescent="0.3">
      <c r="A61" t="s">
        <v>284</v>
      </c>
      <c r="B61" t="s">
        <v>283</v>
      </c>
      <c r="C61" t="s">
        <v>45</v>
      </c>
      <c r="D61">
        <v>40</v>
      </c>
      <c r="E61">
        <v>20</v>
      </c>
      <c r="F61">
        <v>1001</v>
      </c>
      <c r="G61">
        <f>1+1+86+382+11+11+2+6+1+9+64+43+5+3+1+1+2+1+1+1</f>
        <v>632</v>
      </c>
      <c r="H61">
        <v>1003.97</v>
      </c>
      <c r="I61">
        <v>20</v>
      </c>
      <c r="J61">
        <f>7+30+255+123+30+56+147+10+193+5+10+25+21+5+7+88+24+5+66+58</f>
        <v>1165</v>
      </c>
      <c r="K61">
        <v>18.5</v>
      </c>
      <c r="L61">
        <v>1003.99</v>
      </c>
      <c r="M61">
        <v>1000</v>
      </c>
      <c r="N61" s="2">
        <v>45931</v>
      </c>
      <c r="O61" s="2">
        <v>46297</v>
      </c>
      <c r="Q61" t="s">
        <v>27</v>
      </c>
      <c r="R61">
        <v>12</v>
      </c>
      <c r="S61">
        <v>0.5</v>
      </c>
      <c r="T61" t="s">
        <v>39</v>
      </c>
      <c r="U61" t="s">
        <v>158</v>
      </c>
      <c r="V61" t="s">
        <v>327</v>
      </c>
      <c r="W61">
        <v>17</v>
      </c>
    </row>
    <row r="62" spans="1:23" x14ac:dyDescent="0.3">
      <c r="A62" t="s">
        <v>205</v>
      </c>
      <c r="B62" t="s">
        <v>112</v>
      </c>
      <c r="C62" t="s">
        <v>45</v>
      </c>
      <c r="D62">
        <v>20</v>
      </c>
      <c r="E62">
        <v>1</v>
      </c>
      <c r="F62">
        <v>800</v>
      </c>
      <c r="G62">
        <v>250</v>
      </c>
      <c r="H62">
        <v>930</v>
      </c>
      <c r="I62">
        <v>19</v>
      </c>
      <c r="J62">
        <f>10+55+5+89+1124+2+2+4+100+260+1064+334+45798+7+50+3+10+70+340</f>
        <v>49327</v>
      </c>
      <c r="K62">
        <v>21</v>
      </c>
      <c r="L62">
        <v>865</v>
      </c>
      <c r="M62">
        <v>1000</v>
      </c>
      <c r="N62" s="2">
        <v>45932</v>
      </c>
      <c r="O62" s="2">
        <v>46297</v>
      </c>
      <c r="P62" s="2">
        <v>45933</v>
      </c>
      <c r="Q62" t="s">
        <v>27</v>
      </c>
      <c r="R62">
        <v>12</v>
      </c>
      <c r="T62" t="s">
        <v>39</v>
      </c>
      <c r="U62" t="s">
        <v>125</v>
      </c>
      <c r="V62" t="s">
        <v>329</v>
      </c>
      <c r="W62">
        <v>17</v>
      </c>
    </row>
    <row r="63" spans="1:23" x14ac:dyDescent="0.3">
      <c r="A63" t="s">
        <v>204</v>
      </c>
      <c r="B63" t="s">
        <v>30</v>
      </c>
      <c r="C63" t="s">
        <v>45</v>
      </c>
      <c r="D63">
        <v>4</v>
      </c>
      <c r="E63">
        <v>4</v>
      </c>
      <c r="F63">
        <v>1001</v>
      </c>
      <c r="G63">
        <f>11+5+2+10</f>
        <v>28</v>
      </c>
      <c r="H63">
        <v>0</v>
      </c>
      <c r="I63">
        <v>0</v>
      </c>
      <c r="J63">
        <v>0</v>
      </c>
      <c r="K63">
        <v>15.65</v>
      </c>
      <c r="L63">
        <v>1001</v>
      </c>
      <c r="M63">
        <v>1000</v>
      </c>
      <c r="N63" s="2">
        <v>45937</v>
      </c>
      <c r="O63" s="2">
        <v>46301</v>
      </c>
      <c r="P63" s="2">
        <v>45937</v>
      </c>
      <c r="Q63" t="s">
        <v>27</v>
      </c>
      <c r="R63">
        <v>12</v>
      </c>
      <c r="T63" t="s">
        <v>40</v>
      </c>
      <c r="U63" t="s">
        <v>202</v>
      </c>
      <c r="V63" t="s">
        <v>329</v>
      </c>
      <c r="W63">
        <v>17</v>
      </c>
    </row>
    <row r="64" spans="1:23" x14ac:dyDescent="0.3">
      <c r="A64" t="s">
        <v>203</v>
      </c>
      <c r="B64" t="s">
        <v>112</v>
      </c>
      <c r="C64" t="s">
        <v>45</v>
      </c>
      <c r="D64">
        <v>1</v>
      </c>
      <c r="E64">
        <v>1</v>
      </c>
      <c r="F64">
        <v>800</v>
      </c>
      <c r="G64">
        <v>10</v>
      </c>
      <c r="H64">
        <v>0</v>
      </c>
      <c r="I64">
        <v>0</v>
      </c>
      <c r="J64">
        <v>0</v>
      </c>
      <c r="K64">
        <v>20</v>
      </c>
      <c r="L64">
        <v>800</v>
      </c>
      <c r="M64">
        <v>1000</v>
      </c>
      <c r="N64" s="2">
        <v>45938</v>
      </c>
      <c r="O64" s="2">
        <v>45938</v>
      </c>
      <c r="P64" s="2">
        <v>45939</v>
      </c>
      <c r="Q64" t="s">
        <v>27</v>
      </c>
      <c r="R64">
        <v>12</v>
      </c>
      <c r="T64" t="s">
        <v>39</v>
      </c>
      <c r="U64" t="s">
        <v>125</v>
      </c>
      <c r="V64" t="s">
        <v>329</v>
      </c>
      <c r="W64">
        <v>17</v>
      </c>
    </row>
    <row r="65" spans="1:23" x14ac:dyDescent="0.3">
      <c r="A65" t="s">
        <v>201</v>
      </c>
      <c r="B65" t="s">
        <v>30</v>
      </c>
      <c r="C65" t="s">
        <v>45</v>
      </c>
      <c r="D65">
        <v>5</v>
      </c>
      <c r="E65">
        <v>5</v>
      </c>
      <c r="F65">
        <v>1003</v>
      </c>
      <c r="G65">
        <f>200+302+555+655+10</f>
        <v>1722</v>
      </c>
      <c r="H65">
        <v>0</v>
      </c>
      <c r="I65">
        <v>0</v>
      </c>
      <c r="J65">
        <v>0</v>
      </c>
      <c r="K65">
        <v>15.7</v>
      </c>
      <c r="L65">
        <v>1003</v>
      </c>
      <c r="M65">
        <v>1000</v>
      </c>
      <c r="N65" s="2">
        <v>45939</v>
      </c>
      <c r="O65" s="2">
        <v>46303</v>
      </c>
      <c r="P65" s="2">
        <v>45939</v>
      </c>
      <c r="Q65" t="s">
        <v>27</v>
      </c>
      <c r="R65">
        <v>12</v>
      </c>
      <c r="T65" t="s">
        <v>40</v>
      </c>
      <c r="U65" t="s">
        <v>202</v>
      </c>
      <c r="V65" t="s">
        <v>329</v>
      </c>
      <c r="W65">
        <v>17</v>
      </c>
    </row>
    <row r="66" spans="1:23" x14ac:dyDescent="0.3">
      <c r="A66" t="s">
        <v>198</v>
      </c>
      <c r="B66" t="s">
        <v>199</v>
      </c>
      <c r="C66" t="s">
        <v>45</v>
      </c>
      <c r="D66">
        <v>21</v>
      </c>
      <c r="E66">
        <v>17</v>
      </c>
      <c r="F66">
        <v>1002</v>
      </c>
      <c r="G66">
        <f>37+533+333+100+16+300+308+500+42+5+1+555+1+100+10+10+248</f>
        <v>3099</v>
      </c>
      <c r="H66">
        <v>1026</v>
      </c>
      <c r="I66">
        <v>4</v>
      </c>
      <c r="J66">
        <f>1+41+1+10</f>
        <v>53</v>
      </c>
      <c r="K66">
        <v>17.5</v>
      </c>
      <c r="L66">
        <v>1014</v>
      </c>
      <c r="M66">
        <v>1000</v>
      </c>
      <c r="N66" s="2">
        <v>45943</v>
      </c>
      <c r="O66" s="2">
        <v>46308</v>
      </c>
      <c r="P66" s="2">
        <v>45944</v>
      </c>
      <c r="Q66" t="s">
        <v>27</v>
      </c>
      <c r="R66">
        <v>12</v>
      </c>
      <c r="T66" t="s">
        <v>39</v>
      </c>
      <c r="U66" t="s">
        <v>200</v>
      </c>
      <c r="V66" t="s">
        <v>329</v>
      </c>
      <c r="W66">
        <v>17</v>
      </c>
    </row>
    <row r="67" spans="1:23" x14ac:dyDescent="0.3">
      <c r="A67" t="s">
        <v>298</v>
      </c>
      <c r="B67" t="s">
        <v>297</v>
      </c>
      <c r="C67" t="s">
        <v>45</v>
      </c>
      <c r="D67">
        <v>32</v>
      </c>
      <c r="E67">
        <v>17</v>
      </c>
      <c r="F67">
        <v>1018.51</v>
      </c>
      <c r="G67">
        <f>2+26+2+40+5+3+9+25+1+3+60+10+1+11+9+1+10</f>
        <v>218</v>
      </c>
      <c r="H67">
        <v>1020</v>
      </c>
      <c r="I67">
        <v>15</v>
      </c>
      <c r="J67">
        <f>5+1+2+10+23+50+3+1+2+1+50+62+86+100</f>
        <v>396</v>
      </c>
      <c r="K67">
        <v>20</v>
      </c>
      <c r="L67">
        <v>1018.51</v>
      </c>
      <c r="M67">
        <v>1000</v>
      </c>
      <c r="N67" s="2">
        <v>45945</v>
      </c>
      <c r="O67" s="2">
        <v>46282</v>
      </c>
      <c r="Q67" t="s">
        <v>27</v>
      </c>
      <c r="R67">
        <v>12</v>
      </c>
      <c r="S67">
        <v>9.31</v>
      </c>
      <c r="T67" t="s">
        <v>39</v>
      </c>
      <c r="V67" t="s">
        <v>327</v>
      </c>
      <c r="W67">
        <v>17</v>
      </c>
    </row>
    <row r="68" spans="1:23" x14ac:dyDescent="0.3">
      <c r="A68" t="s">
        <v>195</v>
      </c>
      <c r="B68" t="s">
        <v>196</v>
      </c>
      <c r="C68" t="s">
        <v>45</v>
      </c>
      <c r="D68">
        <v>22</v>
      </c>
      <c r="E68">
        <v>12</v>
      </c>
      <c r="F68">
        <v>1000</v>
      </c>
      <c r="G68">
        <f>10+36+100+1000+19+5+100+302+5+20+6+50</f>
        <v>1653</v>
      </c>
      <c r="H68">
        <v>1024</v>
      </c>
      <c r="I68">
        <v>10</v>
      </c>
      <c r="J68">
        <f>1302+1+3+100+10+7+5+3+1+100</f>
        <v>1532</v>
      </c>
      <c r="K68">
        <v>19</v>
      </c>
      <c r="L68">
        <v>1012</v>
      </c>
      <c r="M68">
        <v>1000</v>
      </c>
      <c r="N68" s="2">
        <v>45947</v>
      </c>
      <c r="O68" s="2">
        <v>45946</v>
      </c>
      <c r="P68" s="2">
        <v>45950</v>
      </c>
      <c r="Q68" t="s">
        <v>27</v>
      </c>
      <c r="R68">
        <v>12</v>
      </c>
      <c r="T68" t="s">
        <v>39</v>
      </c>
      <c r="U68" t="s">
        <v>197</v>
      </c>
      <c r="V68" t="s">
        <v>329</v>
      </c>
      <c r="W68">
        <v>17</v>
      </c>
    </row>
    <row r="69" spans="1:23" x14ac:dyDescent="0.3">
      <c r="A69" t="s">
        <v>194</v>
      </c>
      <c r="B69" t="s">
        <v>175</v>
      </c>
      <c r="C69" t="s">
        <v>45</v>
      </c>
      <c r="D69">
        <v>20</v>
      </c>
      <c r="E69">
        <v>14</v>
      </c>
      <c r="F69">
        <v>999</v>
      </c>
      <c r="G69">
        <f>236+74+70+50+45+98+20+49+150+10+71+1+23+2</f>
        <v>899</v>
      </c>
      <c r="H69">
        <v>1000</v>
      </c>
      <c r="I69">
        <v>6</v>
      </c>
      <c r="J69">
        <f>1+1136+1+1+3+2</f>
        <v>1144</v>
      </c>
      <c r="K69">
        <v>20.5</v>
      </c>
      <c r="L69">
        <v>999.5</v>
      </c>
      <c r="M69">
        <v>1000</v>
      </c>
      <c r="N69" s="2">
        <v>45951</v>
      </c>
      <c r="O69" s="2">
        <v>45951</v>
      </c>
      <c r="P69" s="2">
        <v>45952</v>
      </c>
      <c r="Q69" t="s">
        <v>27</v>
      </c>
      <c r="R69">
        <v>12</v>
      </c>
      <c r="T69" t="s">
        <v>39</v>
      </c>
      <c r="V69" t="s">
        <v>329</v>
      </c>
      <c r="W69">
        <v>17</v>
      </c>
    </row>
    <row r="70" spans="1:23" x14ac:dyDescent="0.3">
      <c r="A70" t="s">
        <v>193</v>
      </c>
      <c r="B70" t="s">
        <v>112</v>
      </c>
      <c r="C70" t="s">
        <v>45</v>
      </c>
      <c r="D70">
        <v>24</v>
      </c>
      <c r="E70">
        <v>0</v>
      </c>
      <c r="F70">
        <v>0</v>
      </c>
      <c r="G70">
        <v>0</v>
      </c>
      <c r="H70">
        <v>800</v>
      </c>
      <c r="I70">
        <v>24</v>
      </c>
      <c r="J70">
        <f>5863+100+50+50+10+1525+45+349+169+11+5+223+830+48+100+105+2000+39+1981+9047+1+100+200+253</f>
        <v>23104</v>
      </c>
      <c r="K70">
        <v>21</v>
      </c>
      <c r="L70">
        <v>800</v>
      </c>
      <c r="M70">
        <v>1000</v>
      </c>
      <c r="N70" s="2">
        <v>45954</v>
      </c>
      <c r="O70" s="2">
        <v>46318</v>
      </c>
      <c r="P70" s="2">
        <v>45957</v>
      </c>
      <c r="Q70" t="s">
        <v>27</v>
      </c>
      <c r="R70">
        <v>12</v>
      </c>
      <c r="T70" t="s">
        <v>39</v>
      </c>
      <c r="U70" t="s">
        <v>125</v>
      </c>
      <c r="V70" t="s">
        <v>329</v>
      </c>
      <c r="W70">
        <v>17</v>
      </c>
    </row>
    <row r="71" spans="1:23" x14ac:dyDescent="0.3">
      <c r="A71" t="s">
        <v>191</v>
      </c>
      <c r="B71" t="s">
        <v>192</v>
      </c>
      <c r="C71" t="s">
        <v>45</v>
      </c>
      <c r="D71">
        <v>30</v>
      </c>
      <c r="E71">
        <v>11</v>
      </c>
      <c r="F71">
        <v>1000</v>
      </c>
      <c r="G71">
        <f>300+10+6+645+5+47+250+61+17+250+510</f>
        <v>2101</v>
      </c>
      <c r="H71">
        <v>1003</v>
      </c>
      <c r="I71">
        <f>D71-E71</f>
        <v>19</v>
      </c>
      <c r="J71">
        <f>999+749+16+22+9+5+40+2+5+1+2+6+100+10+16+5+3+1+101</f>
        <v>2092</v>
      </c>
      <c r="K71">
        <v>19.5</v>
      </c>
      <c r="L71">
        <v>1001.5</v>
      </c>
      <c r="M71">
        <v>1000</v>
      </c>
      <c r="N71" s="2">
        <v>45958</v>
      </c>
      <c r="O71" s="2">
        <v>45958</v>
      </c>
      <c r="P71" s="2">
        <v>45959</v>
      </c>
      <c r="Q71" t="s">
        <v>27</v>
      </c>
      <c r="R71">
        <v>12</v>
      </c>
      <c r="T71" t="s">
        <v>39</v>
      </c>
      <c r="V71" t="s">
        <v>329</v>
      </c>
      <c r="W71">
        <v>16.5</v>
      </c>
    </row>
    <row r="72" spans="1:23" x14ac:dyDescent="0.3">
      <c r="A72" t="s">
        <v>282</v>
      </c>
      <c r="B72" t="s">
        <v>283</v>
      </c>
      <c r="C72" t="s">
        <v>45</v>
      </c>
      <c r="D72">
        <v>40</v>
      </c>
      <c r="E72">
        <v>20</v>
      </c>
      <c r="F72">
        <v>1026.5999999999999</v>
      </c>
      <c r="G72">
        <f>1+5+3+2+2+1+25+5+1+6+6+1+2+7+1+1+50+102+2+2</f>
        <v>225</v>
      </c>
      <c r="H72">
        <v>1037.22</v>
      </c>
      <c r="I72">
        <v>20</v>
      </c>
      <c r="J72">
        <f>4+5+4+12+5+58+100+21+100+1+3+20+100+76+342+30+20</f>
        <v>901</v>
      </c>
      <c r="K72">
        <v>20</v>
      </c>
      <c r="L72">
        <v>1037.23</v>
      </c>
      <c r="M72">
        <v>1000</v>
      </c>
      <c r="N72" s="2">
        <v>45967</v>
      </c>
      <c r="O72" s="2">
        <v>46335</v>
      </c>
      <c r="Q72" t="s">
        <v>27</v>
      </c>
      <c r="R72">
        <v>12</v>
      </c>
      <c r="S72">
        <v>13.15</v>
      </c>
      <c r="T72" t="s">
        <v>39</v>
      </c>
      <c r="U72" t="s">
        <v>277</v>
      </c>
      <c r="V72" t="s">
        <v>327</v>
      </c>
      <c r="W72">
        <v>16.5</v>
      </c>
    </row>
    <row r="73" spans="1:23" x14ac:dyDescent="0.3">
      <c r="A73" t="s">
        <v>188</v>
      </c>
      <c r="B73" t="s">
        <v>189</v>
      </c>
      <c r="C73" t="s">
        <v>45</v>
      </c>
      <c r="D73">
        <v>16</v>
      </c>
      <c r="E73">
        <v>7</v>
      </c>
      <c r="F73">
        <v>1008</v>
      </c>
      <c r="G73">
        <f>1+2+15+51+300+35+25</f>
        <v>429</v>
      </c>
      <c r="H73">
        <v>1017</v>
      </c>
      <c r="I73">
        <f>D73-E73</f>
        <v>9</v>
      </c>
      <c r="J73">
        <f>89+13+350+10+18+10+10+10+10</f>
        <v>520</v>
      </c>
      <c r="K73">
        <v>20</v>
      </c>
      <c r="L73">
        <v>1012.5</v>
      </c>
      <c r="M73">
        <v>1000</v>
      </c>
      <c r="N73" s="2">
        <v>45971</v>
      </c>
      <c r="O73" s="2">
        <v>45971</v>
      </c>
      <c r="P73" s="2">
        <v>45972</v>
      </c>
      <c r="Q73" t="s">
        <v>27</v>
      </c>
      <c r="R73">
        <v>12</v>
      </c>
      <c r="T73" t="s">
        <v>39</v>
      </c>
      <c r="U73" t="s">
        <v>190</v>
      </c>
      <c r="V73" t="s">
        <v>329</v>
      </c>
      <c r="W73">
        <v>16.5</v>
      </c>
    </row>
    <row r="74" spans="1:23" x14ac:dyDescent="0.3">
      <c r="A74" t="s">
        <v>186</v>
      </c>
      <c r="B74" t="s">
        <v>187</v>
      </c>
      <c r="C74" t="s">
        <v>45</v>
      </c>
      <c r="D74">
        <v>21</v>
      </c>
      <c r="E74">
        <v>10</v>
      </c>
      <c r="F74">
        <v>1010</v>
      </c>
      <c r="G74">
        <f>13+1+7+101+45+20+2+19+460+101</f>
        <v>769</v>
      </c>
      <c r="H74">
        <v>1015</v>
      </c>
      <c r="I74">
        <v>11</v>
      </c>
      <c r="J74">
        <f>50+102+1033+10+5+100+10+7+5+3+1</f>
        <v>1326</v>
      </c>
      <c r="K74">
        <v>21</v>
      </c>
      <c r="L74">
        <v>1012.5</v>
      </c>
      <c r="M74">
        <v>1000</v>
      </c>
      <c r="N74" s="2">
        <v>45974</v>
      </c>
      <c r="O74" s="2">
        <v>46247</v>
      </c>
      <c r="P74" s="2">
        <v>45975</v>
      </c>
      <c r="Q74" t="s">
        <v>27</v>
      </c>
      <c r="R74">
        <v>9</v>
      </c>
      <c r="T74" t="s">
        <v>39</v>
      </c>
      <c r="V74" t="s">
        <v>329</v>
      </c>
      <c r="W74">
        <v>16.5</v>
      </c>
    </row>
    <row r="75" spans="1:23" x14ac:dyDescent="0.3">
      <c r="A75" t="s">
        <v>180</v>
      </c>
      <c r="B75" t="s">
        <v>181</v>
      </c>
      <c r="C75" t="s">
        <v>45</v>
      </c>
      <c r="D75">
        <v>15</v>
      </c>
      <c r="E75">
        <v>12</v>
      </c>
      <c r="F75">
        <v>1008</v>
      </c>
      <c r="G75">
        <f>200+30+100+32+50+36+153+5+2+35+2+1</f>
        <v>646</v>
      </c>
      <c r="H75">
        <v>1100</v>
      </c>
      <c r="I75">
        <v>3</v>
      </c>
      <c r="J75">
        <f>1+1+5</f>
        <v>7</v>
      </c>
      <c r="K75">
        <v>20.5</v>
      </c>
      <c r="L75">
        <v>1054</v>
      </c>
      <c r="M75">
        <v>1000</v>
      </c>
      <c r="N75" s="2">
        <v>45975</v>
      </c>
      <c r="O75" s="2">
        <v>46309</v>
      </c>
      <c r="P75" s="2">
        <v>45978</v>
      </c>
      <c r="Q75" t="s">
        <v>27</v>
      </c>
      <c r="R75">
        <v>11</v>
      </c>
      <c r="T75" t="s">
        <v>39</v>
      </c>
      <c r="V75" t="s">
        <v>329</v>
      </c>
      <c r="W75">
        <v>16.5</v>
      </c>
    </row>
    <row r="76" spans="1:23" x14ac:dyDescent="0.3">
      <c r="A76" t="s">
        <v>182</v>
      </c>
      <c r="B76" t="s">
        <v>183</v>
      </c>
      <c r="C76" t="s">
        <v>45</v>
      </c>
      <c r="D76">
        <v>2</v>
      </c>
      <c r="E76">
        <v>1</v>
      </c>
      <c r="F76" s="1">
        <v>450000</v>
      </c>
      <c r="G76">
        <v>1</v>
      </c>
      <c r="H76">
        <v>523562</v>
      </c>
      <c r="I76">
        <v>1</v>
      </c>
      <c r="J76">
        <v>10</v>
      </c>
      <c r="K76">
        <v>10</v>
      </c>
      <c r="L76">
        <v>486781</v>
      </c>
      <c r="M76">
        <v>500000</v>
      </c>
      <c r="N76" s="2">
        <v>45975</v>
      </c>
      <c r="O76" s="2">
        <v>46339</v>
      </c>
      <c r="P76" s="2">
        <v>45979</v>
      </c>
      <c r="Q76" t="s">
        <v>27</v>
      </c>
      <c r="R76">
        <v>12</v>
      </c>
      <c r="T76" t="s">
        <v>40</v>
      </c>
      <c r="U76" t="s">
        <v>184</v>
      </c>
      <c r="V76" t="s">
        <v>329</v>
      </c>
      <c r="W76">
        <v>16.5</v>
      </c>
    </row>
    <row r="77" spans="1:23" x14ac:dyDescent="0.3">
      <c r="A77" t="s">
        <v>185</v>
      </c>
      <c r="B77" t="s">
        <v>51</v>
      </c>
      <c r="C77" t="s">
        <v>45</v>
      </c>
      <c r="D77">
        <v>25</v>
      </c>
      <c r="E77">
        <v>12</v>
      </c>
      <c r="F77">
        <v>1001</v>
      </c>
      <c r="G77">
        <f>34+591+10+3+3+2+5+45+2+500+2+20</f>
        <v>1217</v>
      </c>
      <c r="H77">
        <v>1040</v>
      </c>
      <c r="I77">
        <v>13</v>
      </c>
      <c r="J77">
        <f>10+23+30+20+200+10+10+10+4+10+10+5+3</f>
        <v>345</v>
      </c>
      <c r="K77">
        <v>21</v>
      </c>
      <c r="L77">
        <v>1020.5</v>
      </c>
      <c r="M77">
        <v>1000</v>
      </c>
      <c r="N77" s="2">
        <v>45975</v>
      </c>
      <c r="O77" s="2">
        <v>46339</v>
      </c>
      <c r="P77" s="2">
        <v>45975</v>
      </c>
      <c r="Q77" t="s">
        <v>27</v>
      </c>
      <c r="R77">
        <v>12</v>
      </c>
      <c r="T77" t="s">
        <v>39</v>
      </c>
      <c r="V77" t="s">
        <v>329</v>
      </c>
      <c r="W77">
        <v>16.5</v>
      </c>
    </row>
    <row r="78" spans="1:23" x14ac:dyDescent="0.3">
      <c r="A78" t="s">
        <v>179</v>
      </c>
      <c r="B78" t="s">
        <v>89</v>
      </c>
      <c r="C78" t="s">
        <v>45</v>
      </c>
      <c r="D78">
        <v>21</v>
      </c>
      <c r="E78">
        <v>10</v>
      </c>
      <c r="F78">
        <v>1010</v>
      </c>
      <c r="G78">
        <f>58+200+154+5+300+45+20+88+500+46</f>
        <v>1416</v>
      </c>
      <c r="H78">
        <v>1032</v>
      </c>
      <c r="I78">
        <v>11</v>
      </c>
      <c r="J78">
        <f>1+250+2+100+10+5+3+3+1+3+101</f>
        <v>479</v>
      </c>
      <c r="K78">
        <v>20</v>
      </c>
      <c r="L78">
        <v>1021</v>
      </c>
      <c r="M78">
        <v>1000</v>
      </c>
      <c r="N78" s="2">
        <v>45980</v>
      </c>
      <c r="O78" s="2">
        <v>46253</v>
      </c>
      <c r="P78" s="2">
        <v>45981</v>
      </c>
      <c r="Q78" t="s">
        <v>27</v>
      </c>
      <c r="R78">
        <v>9</v>
      </c>
      <c r="T78" t="s">
        <v>39</v>
      </c>
      <c r="U78" t="s">
        <v>90</v>
      </c>
      <c r="V78" t="s">
        <v>329</v>
      </c>
      <c r="W78">
        <v>16.5</v>
      </c>
    </row>
    <row r="79" spans="1:23" x14ac:dyDescent="0.3">
      <c r="A79" t="s">
        <v>14</v>
      </c>
      <c r="B79" t="s">
        <v>288</v>
      </c>
      <c r="C79" t="s">
        <v>45</v>
      </c>
      <c r="D79">
        <v>40</v>
      </c>
      <c r="E79">
        <v>20</v>
      </c>
      <c r="F79">
        <v>1003</v>
      </c>
      <c r="G79">
        <f>2+29+3+6+7+1+12+42+5+2+1+1+1+1+104+1+1+60+1+2</f>
        <v>282</v>
      </c>
      <c r="H79">
        <v>1006.35</v>
      </c>
      <c r="I79">
        <v>20</v>
      </c>
      <c r="J79">
        <f>1+16+92+2+3+20+10+10+20+5+11+8+8+10+16+42+14+50+222+10</f>
        <v>570</v>
      </c>
      <c r="K79">
        <v>19</v>
      </c>
      <c r="L79">
        <v>1006.34</v>
      </c>
      <c r="M79">
        <v>1000</v>
      </c>
      <c r="N79" s="2">
        <v>45981</v>
      </c>
      <c r="O79" s="2">
        <v>46169</v>
      </c>
      <c r="Q79" t="s">
        <v>27</v>
      </c>
      <c r="R79">
        <v>6</v>
      </c>
      <c r="S79">
        <v>5.2</v>
      </c>
      <c r="T79" t="s">
        <v>39</v>
      </c>
      <c r="U79" t="s">
        <v>277</v>
      </c>
      <c r="V79" t="s">
        <v>327</v>
      </c>
      <c r="W79">
        <v>16.5</v>
      </c>
    </row>
    <row r="80" spans="1:23" x14ac:dyDescent="0.3">
      <c r="A80" t="s">
        <v>307</v>
      </c>
      <c r="B80" t="s">
        <v>308</v>
      </c>
      <c r="C80" t="s">
        <v>45</v>
      </c>
      <c r="D80">
        <v>40</v>
      </c>
      <c r="E80">
        <v>2</v>
      </c>
      <c r="F80">
        <v>1032.0999999999999</v>
      </c>
      <c r="G80">
        <f>33+2+1+58+11+1+10+5+3+4+1+18+1+51+12+1+9+102+1+1</f>
        <v>325</v>
      </c>
      <c r="H80">
        <v>1037</v>
      </c>
      <c r="I80">
        <v>20</v>
      </c>
      <c r="J80">
        <f>61+130+100+252+34+323+22+10+14+1+4+5+50+3+34+10+1+15+4+50</f>
        <v>1123</v>
      </c>
      <c r="K80">
        <v>21.75</v>
      </c>
      <c r="L80">
        <v>1037</v>
      </c>
      <c r="M80" s="1">
        <v>1000</v>
      </c>
      <c r="N80" s="2">
        <v>45981</v>
      </c>
      <c r="O80" s="2">
        <v>46349</v>
      </c>
      <c r="Q80" t="s">
        <v>27</v>
      </c>
      <c r="R80">
        <v>12</v>
      </c>
      <c r="S80">
        <v>41.71</v>
      </c>
      <c r="T80" t="s">
        <v>39</v>
      </c>
      <c r="U80" t="s">
        <v>309</v>
      </c>
      <c r="V80" t="s">
        <v>327</v>
      </c>
      <c r="W80">
        <v>16.5</v>
      </c>
    </row>
    <row r="81" spans="1:23" x14ac:dyDescent="0.3">
      <c r="A81" t="s">
        <v>278</v>
      </c>
      <c r="B81" t="s">
        <v>181</v>
      </c>
      <c r="C81" t="s">
        <v>45</v>
      </c>
      <c r="D81">
        <v>38</v>
      </c>
      <c r="E81">
        <v>20</v>
      </c>
      <c r="F81">
        <v>1028.68</v>
      </c>
      <c r="G81">
        <f>1+100+45+3+1+4+10+1+8+1+1+1+14+12+5+35+30+9+1+1</f>
        <v>283</v>
      </c>
      <c r="H81">
        <v>1028.7</v>
      </c>
      <c r="I81">
        <v>18</v>
      </c>
      <c r="J81">
        <f>368+1+55+8+10+5+500+20+1+550+1+12+8+501+10+102+50+2</f>
        <v>2204</v>
      </c>
      <c r="K81">
        <v>20.5</v>
      </c>
      <c r="L81">
        <v>1028.7</v>
      </c>
      <c r="M81">
        <v>1000</v>
      </c>
      <c r="N81" s="2">
        <v>45986</v>
      </c>
      <c r="O81" s="2">
        <v>46349</v>
      </c>
      <c r="Q81" t="s">
        <v>27</v>
      </c>
      <c r="R81">
        <v>12</v>
      </c>
      <c r="S81">
        <v>5.05</v>
      </c>
      <c r="T81" t="s">
        <v>39</v>
      </c>
      <c r="V81" t="s">
        <v>327</v>
      </c>
      <c r="W81">
        <v>16.5</v>
      </c>
    </row>
    <row r="82" spans="1:23" x14ac:dyDescent="0.3">
      <c r="A82" t="s">
        <v>178</v>
      </c>
      <c r="B82" t="s">
        <v>112</v>
      </c>
      <c r="C82" t="s">
        <v>45</v>
      </c>
      <c r="D82">
        <v>31</v>
      </c>
      <c r="E82">
        <v>0</v>
      </c>
      <c r="F82">
        <v>0</v>
      </c>
      <c r="G82">
        <v>0</v>
      </c>
      <c r="H82">
        <v>800</v>
      </c>
      <c r="I82">
        <v>31</v>
      </c>
      <c r="J82">
        <f>2864+50+100+102+43+1+861+1+1+25+1+7+1900+1+2+11+47+65+10+6344+9524+3+100+398+13+10+10+10+10+550+1</f>
        <v>23065</v>
      </c>
      <c r="K82">
        <v>20.5</v>
      </c>
      <c r="L82">
        <v>800</v>
      </c>
      <c r="M82">
        <v>1000</v>
      </c>
      <c r="N82" s="2">
        <v>45987</v>
      </c>
      <c r="O82" s="2">
        <v>46352</v>
      </c>
      <c r="P82" s="2">
        <v>45988</v>
      </c>
      <c r="Q82" t="s">
        <v>27</v>
      </c>
      <c r="R82">
        <v>12</v>
      </c>
      <c r="S82">
        <v>4.49</v>
      </c>
      <c r="T82" t="s">
        <v>39</v>
      </c>
      <c r="U82" t="s">
        <v>125</v>
      </c>
      <c r="V82" t="s">
        <v>329</v>
      </c>
      <c r="W82">
        <v>16.5</v>
      </c>
    </row>
    <row r="83" spans="1:23" x14ac:dyDescent="0.3">
      <c r="A83" t="s">
        <v>174</v>
      </c>
      <c r="B83" t="s">
        <v>175</v>
      </c>
      <c r="C83" t="s">
        <v>45</v>
      </c>
      <c r="D83">
        <v>7</v>
      </c>
      <c r="E83">
        <v>5</v>
      </c>
      <c r="F83">
        <v>1000</v>
      </c>
      <c r="G83">
        <f>2+12+60+40+13</f>
        <v>127</v>
      </c>
      <c r="H83">
        <v>1049</v>
      </c>
      <c r="I83">
        <v>2</v>
      </c>
      <c r="J83">
        <f>54+28</f>
        <v>82</v>
      </c>
      <c r="K83">
        <v>21.25</v>
      </c>
      <c r="L83">
        <v>1024.5</v>
      </c>
      <c r="M83">
        <v>1000</v>
      </c>
      <c r="N83" s="2">
        <v>45989</v>
      </c>
      <c r="O83" s="2">
        <v>46353</v>
      </c>
      <c r="P83" s="2">
        <v>45992</v>
      </c>
      <c r="Q83" t="s">
        <v>27</v>
      </c>
      <c r="R83">
        <v>12</v>
      </c>
      <c r="S83">
        <v>4.66</v>
      </c>
      <c r="T83" t="s">
        <v>39</v>
      </c>
      <c r="V83" t="s">
        <v>329</v>
      </c>
      <c r="W83">
        <v>16.5</v>
      </c>
    </row>
    <row r="84" spans="1:23" x14ac:dyDescent="0.3">
      <c r="A84" t="s">
        <v>176</v>
      </c>
      <c r="B84" t="s">
        <v>177</v>
      </c>
      <c r="C84" t="s">
        <v>45</v>
      </c>
      <c r="D84">
        <v>9</v>
      </c>
      <c r="E84">
        <v>7</v>
      </c>
      <c r="F84">
        <v>1001</v>
      </c>
      <c r="G84">
        <f>30+91+15+47+3+40+3</f>
        <v>229</v>
      </c>
      <c r="H84">
        <v>1160</v>
      </c>
      <c r="I84">
        <v>2</v>
      </c>
      <c r="J84">
        <v>2</v>
      </c>
      <c r="K84">
        <v>20</v>
      </c>
      <c r="L84">
        <v>1080.5</v>
      </c>
      <c r="M84">
        <v>1000</v>
      </c>
      <c r="N84" s="2">
        <v>45989</v>
      </c>
      <c r="O84" s="2">
        <v>46170</v>
      </c>
      <c r="P84" s="2">
        <v>45992</v>
      </c>
      <c r="Q84" t="s">
        <v>27</v>
      </c>
      <c r="R84">
        <v>6</v>
      </c>
      <c r="S84">
        <v>3.84</v>
      </c>
      <c r="T84" t="s">
        <v>39</v>
      </c>
      <c r="V84" t="s">
        <v>329</v>
      </c>
      <c r="W84">
        <v>16.5</v>
      </c>
    </row>
    <row r="85" spans="1:23" x14ac:dyDescent="0.3">
      <c r="A85" t="s">
        <v>289</v>
      </c>
      <c r="B85" t="s">
        <v>288</v>
      </c>
      <c r="C85" t="s">
        <v>45</v>
      </c>
      <c r="D85">
        <v>33</v>
      </c>
      <c r="E85">
        <v>13</v>
      </c>
      <c r="F85">
        <v>1008</v>
      </c>
      <c r="G85">
        <f>1+62+13+9+5+4+5+5+26+1+1+15+20</f>
        <v>167</v>
      </c>
      <c r="H85">
        <v>1010.38</v>
      </c>
      <c r="I85">
        <v>20</v>
      </c>
      <c r="J85">
        <f>28+23+15+1+1+7+9+11+1+1+1+1+7+91+24+2+1+25+10+37</f>
        <v>296</v>
      </c>
      <c r="K85">
        <v>19</v>
      </c>
      <c r="L85">
        <v>1010.41</v>
      </c>
      <c r="M85">
        <v>1000</v>
      </c>
      <c r="N85" s="2">
        <v>45993</v>
      </c>
      <c r="O85" s="2">
        <v>46174</v>
      </c>
      <c r="Q85" t="s">
        <v>27</v>
      </c>
      <c r="R85">
        <v>6</v>
      </c>
      <c r="S85">
        <v>1.56</v>
      </c>
      <c r="T85" t="s">
        <v>39</v>
      </c>
      <c r="U85" t="s">
        <v>277</v>
      </c>
      <c r="V85" t="s">
        <v>327</v>
      </c>
      <c r="W85">
        <v>16.5</v>
      </c>
    </row>
    <row r="86" spans="1:23" x14ac:dyDescent="0.3">
      <c r="A86" t="s">
        <v>301</v>
      </c>
      <c r="B86" t="s">
        <v>302</v>
      </c>
      <c r="C86" t="s">
        <v>45</v>
      </c>
      <c r="D86">
        <v>40</v>
      </c>
      <c r="E86">
        <v>20</v>
      </c>
      <c r="F86">
        <v>1019.58</v>
      </c>
      <c r="G86">
        <f>1+2+4+1+2+25+2+3+1+1+3+14+1+3+1+5+21+1+1+1</f>
        <v>93</v>
      </c>
      <c r="H86">
        <v>1026.8</v>
      </c>
      <c r="I86">
        <v>20</v>
      </c>
      <c r="J86">
        <f>30+1008+10+1+6+3+13+25+14+4+10+41+1+2+11+1+10+74+19+1</f>
        <v>1284</v>
      </c>
      <c r="K86">
        <v>20</v>
      </c>
      <c r="L86">
        <v>1026.9000000000001</v>
      </c>
      <c r="M86">
        <v>1000</v>
      </c>
      <c r="N86" s="2">
        <v>45996</v>
      </c>
      <c r="O86" s="2">
        <v>46363</v>
      </c>
      <c r="Q86" t="s">
        <v>27</v>
      </c>
      <c r="R86">
        <v>12</v>
      </c>
      <c r="S86">
        <v>14.24</v>
      </c>
      <c r="T86" t="s">
        <v>39</v>
      </c>
      <c r="V86" t="s">
        <v>327</v>
      </c>
      <c r="W86">
        <v>16.5</v>
      </c>
    </row>
    <row r="87" spans="1:23" x14ac:dyDescent="0.3">
      <c r="A87" t="s">
        <v>173</v>
      </c>
      <c r="B87" t="s">
        <v>112</v>
      </c>
      <c r="C87" t="s">
        <v>45</v>
      </c>
      <c r="D87">
        <v>18</v>
      </c>
      <c r="E87">
        <v>1</v>
      </c>
      <c r="F87">
        <v>800</v>
      </c>
      <c r="G87">
        <v>462</v>
      </c>
      <c r="H87">
        <v>875</v>
      </c>
      <c r="I87">
        <v>17</v>
      </c>
      <c r="J87">
        <f>441+100+11+1+39+300+2452+1420+1+580+2205+4212+5081+6+10+6+1</f>
        <v>16866</v>
      </c>
      <c r="K87">
        <v>20.5</v>
      </c>
      <c r="L87">
        <v>837.5</v>
      </c>
      <c r="M87">
        <v>1000</v>
      </c>
      <c r="N87" s="2">
        <v>45999</v>
      </c>
      <c r="O87" s="2">
        <v>45999</v>
      </c>
      <c r="P87" s="2">
        <v>46000</v>
      </c>
      <c r="Q87" t="s">
        <v>27</v>
      </c>
      <c r="R87">
        <v>12</v>
      </c>
      <c r="S87">
        <v>15.16</v>
      </c>
      <c r="T87" t="s">
        <v>39</v>
      </c>
      <c r="U87" t="s">
        <v>125</v>
      </c>
      <c r="V87" t="s">
        <v>329</v>
      </c>
      <c r="W87">
        <v>16.5</v>
      </c>
    </row>
    <row r="88" spans="1:23" x14ac:dyDescent="0.3">
      <c r="A88" t="s">
        <v>280</v>
      </c>
      <c r="B88" t="s">
        <v>281</v>
      </c>
      <c r="C88" t="s">
        <v>45</v>
      </c>
      <c r="D88">
        <v>40</v>
      </c>
      <c r="E88">
        <v>20</v>
      </c>
      <c r="F88">
        <v>1012</v>
      </c>
      <c r="G88">
        <f>1+3+1+1+2+51+50+5+4+15+11+10+4+13+25+11+25+25+1+1</f>
        <v>259</v>
      </c>
      <c r="H88">
        <v>1016.4</v>
      </c>
      <c r="I88">
        <v>20</v>
      </c>
      <c r="J88">
        <f>11+1+10+23+5+1+15+4+1+1+2+17+1+10+54+10+1+5+3+5</f>
        <v>180</v>
      </c>
      <c r="K88">
        <v>18.5</v>
      </c>
      <c r="L88">
        <v>1016.4</v>
      </c>
      <c r="M88">
        <v>1000</v>
      </c>
      <c r="N88" s="2">
        <v>46002</v>
      </c>
      <c r="O88" s="2">
        <v>46370</v>
      </c>
      <c r="Q88" t="s">
        <v>27</v>
      </c>
      <c r="R88">
        <v>12</v>
      </c>
      <c r="S88">
        <v>9.1199999999999992</v>
      </c>
      <c r="T88" t="s">
        <v>39</v>
      </c>
      <c r="V88" t="s">
        <v>327</v>
      </c>
      <c r="W88">
        <v>16.5</v>
      </c>
    </row>
    <row r="89" spans="1:23" x14ac:dyDescent="0.3">
      <c r="A89" t="s">
        <v>168</v>
      </c>
      <c r="B89" t="s">
        <v>170</v>
      </c>
      <c r="C89" t="s">
        <v>45</v>
      </c>
      <c r="D89">
        <v>7</v>
      </c>
      <c r="E89">
        <v>7</v>
      </c>
      <c r="F89">
        <v>1070</v>
      </c>
      <c r="G89">
        <f>500+100+50+50+116+200+10</f>
        <v>1026</v>
      </c>
      <c r="H89">
        <v>0</v>
      </c>
      <c r="I89">
        <v>0</v>
      </c>
      <c r="J89">
        <v>0</v>
      </c>
      <c r="K89">
        <v>19.5</v>
      </c>
      <c r="L89">
        <v>1070</v>
      </c>
      <c r="M89">
        <v>1000</v>
      </c>
      <c r="N89" s="2">
        <v>46003</v>
      </c>
      <c r="O89" s="2">
        <v>46367</v>
      </c>
      <c r="P89" s="2">
        <v>46006</v>
      </c>
      <c r="Q89" t="s">
        <v>27</v>
      </c>
      <c r="R89">
        <v>12</v>
      </c>
      <c r="S89">
        <v>76.930000000000007</v>
      </c>
      <c r="T89" t="s">
        <v>40</v>
      </c>
      <c r="U89" t="s">
        <v>169</v>
      </c>
      <c r="V89" t="s">
        <v>329</v>
      </c>
      <c r="W89">
        <v>16.5</v>
      </c>
    </row>
    <row r="90" spans="1:23" x14ac:dyDescent="0.3">
      <c r="A90" t="s">
        <v>171</v>
      </c>
      <c r="B90" t="s">
        <v>172</v>
      </c>
      <c r="C90" t="s">
        <v>45</v>
      </c>
      <c r="D90">
        <v>27</v>
      </c>
      <c r="E90">
        <v>15</v>
      </c>
      <c r="F90">
        <v>1015</v>
      </c>
      <c r="G90">
        <f>10+56+31+31+144+100+100+303+372+6+306+675+50+100+209</f>
        <v>2493</v>
      </c>
      <c r="H90">
        <v>1092</v>
      </c>
      <c r="I90">
        <v>12</v>
      </c>
      <c r="J90">
        <f>114+100+10+7+5+3+1+10+10+10+10</f>
        <v>280</v>
      </c>
      <c r="K90">
        <v>21</v>
      </c>
      <c r="L90">
        <v>1053.5</v>
      </c>
      <c r="M90">
        <v>1000</v>
      </c>
      <c r="N90" s="2">
        <v>46003</v>
      </c>
      <c r="O90" s="2">
        <v>46367</v>
      </c>
      <c r="P90" s="2">
        <v>46006</v>
      </c>
      <c r="Q90" t="s">
        <v>27</v>
      </c>
      <c r="R90">
        <v>12</v>
      </c>
      <c r="S90">
        <v>12.66</v>
      </c>
      <c r="T90" t="s">
        <v>39</v>
      </c>
      <c r="V90" t="s">
        <v>329</v>
      </c>
      <c r="W90">
        <v>16.5</v>
      </c>
    </row>
    <row r="91" spans="1:23" x14ac:dyDescent="0.3">
      <c r="A91" t="s">
        <v>167</v>
      </c>
      <c r="B91" t="s">
        <v>47</v>
      </c>
      <c r="C91" t="s">
        <v>45</v>
      </c>
      <c r="D91">
        <v>16</v>
      </c>
      <c r="E91">
        <v>11</v>
      </c>
      <c r="F91">
        <v>1016</v>
      </c>
      <c r="G91">
        <f>4+10+28+6+5+100+1+100+50+500+200</f>
        <v>1004</v>
      </c>
      <c r="H91">
        <v>1100</v>
      </c>
      <c r="I91">
        <v>5</v>
      </c>
      <c r="J91">
        <f>5</f>
        <v>5</v>
      </c>
      <c r="K91">
        <v>18.5</v>
      </c>
      <c r="L91">
        <v>1058</v>
      </c>
      <c r="M91">
        <v>1000</v>
      </c>
      <c r="N91" s="2">
        <v>46006</v>
      </c>
      <c r="O91" s="2">
        <v>46371</v>
      </c>
      <c r="P91" s="2">
        <v>46007</v>
      </c>
      <c r="Q91" t="s">
        <v>27</v>
      </c>
      <c r="R91">
        <v>12</v>
      </c>
      <c r="S91">
        <v>10.14</v>
      </c>
      <c r="T91" t="s">
        <v>39</v>
      </c>
      <c r="U91" t="s">
        <v>202</v>
      </c>
      <c r="V91" t="s">
        <v>329</v>
      </c>
      <c r="W91">
        <v>16.5</v>
      </c>
    </row>
    <row r="92" spans="1:23" x14ac:dyDescent="0.3">
      <c r="A92" t="s">
        <v>166</v>
      </c>
      <c r="B92" t="s">
        <v>112</v>
      </c>
      <c r="C92" t="s">
        <v>45</v>
      </c>
      <c r="D92">
        <v>12</v>
      </c>
      <c r="E92">
        <v>0</v>
      </c>
      <c r="F92">
        <v>0</v>
      </c>
      <c r="G92">
        <v>0</v>
      </c>
      <c r="H92">
        <v>850</v>
      </c>
      <c r="I92">
        <v>12</v>
      </c>
      <c r="J92">
        <f>9+29+90+18+176+250+1+13+3987+49+20+3</f>
        <v>4645</v>
      </c>
      <c r="K92">
        <v>20.5</v>
      </c>
      <c r="L92">
        <v>850</v>
      </c>
      <c r="M92">
        <v>1000</v>
      </c>
      <c r="N92" s="2">
        <v>46007</v>
      </c>
      <c r="O92" s="2">
        <v>46372</v>
      </c>
      <c r="P92" s="2">
        <v>46008</v>
      </c>
      <c r="Q92" t="s">
        <v>27</v>
      </c>
      <c r="R92">
        <v>12</v>
      </c>
      <c r="S92">
        <v>10.67</v>
      </c>
      <c r="T92" t="s">
        <v>39</v>
      </c>
      <c r="U92" t="s">
        <v>125</v>
      </c>
      <c r="V92" t="s">
        <v>329</v>
      </c>
      <c r="W92">
        <v>16.5</v>
      </c>
    </row>
    <row r="93" spans="1:23" x14ac:dyDescent="0.3">
      <c r="A93" t="s">
        <v>312</v>
      </c>
      <c r="B93" t="s">
        <v>313</v>
      </c>
      <c r="C93" t="s">
        <v>45</v>
      </c>
      <c r="D93">
        <v>40</v>
      </c>
      <c r="E93">
        <v>20</v>
      </c>
      <c r="F93">
        <v>1007.05</v>
      </c>
      <c r="G93">
        <f>1+2+2+5+3+2+9+9+1+4+50+2+10+5+3+10+1+30+102+5</f>
        <v>256</v>
      </c>
      <c r="H93">
        <v>1022.88</v>
      </c>
      <c r="I93">
        <v>20</v>
      </c>
      <c r="J93">
        <f>4+9+10+11+5+5+2+8+8+7+6+172+1+5+6+1+1+10+1+2</f>
        <v>274</v>
      </c>
      <c r="K93">
        <v>21</v>
      </c>
      <c r="L93">
        <v>1022.89</v>
      </c>
      <c r="M93">
        <v>1000</v>
      </c>
      <c r="N93" s="2">
        <v>46008</v>
      </c>
      <c r="O93" s="2">
        <v>46374</v>
      </c>
      <c r="Q93" t="s">
        <v>27</v>
      </c>
      <c r="R93">
        <v>12</v>
      </c>
      <c r="S93">
        <v>8.6300000000000008</v>
      </c>
      <c r="T93" t="s">
        <v>39</v>
      </c>
      <c r="V93" t="s">
        <v>327</v>
      </c>
      <c r="W93">
        <v>16.5</v>
      </c>
    </row>
    <row r="94" spans="1:23" x14ac:dyDescent="0.3">
      <c r="A94" t="s">
        <v>310</v>
      </c>
      <c r="B94" t="s">
        <v>47</v>
      </c>
      <c r="C94" t="s">
        <v>45</v>
      </c>
      <c r="D94">
        <v>40</v>
      </c>
      <c r="E94">
        <v>20</v>
      </c>
      <c r="F94">
        <v>1005.9</v>
      </c>
      <c r="G94">
        <f>5+3+5+5+1+14+10+20+2+100+1+3+1+1+3+10+1+3+55+3</f>
        <v>246</v>
      </c>
      <c r="H94">
        <v>1014.43</v>
      </c>
      <c r="I94">
        <v>20</v>
      </c>
      <c r="J94">
        <f>6+1+64+1+5+5+5+10+30+1+4+123+26+1+5+1+2+16+3+8</f>
        <v>317</v>
      </c>
      <c r="K94">
        <v>18.5</v>
      </c>
      <c r="L94">
        <v>1014.43</v>
      </c>
      <c r="M94">
        <v>1000</v>
      </c>
      <c r="N94" s="2">
        <v>46010</v>
      </c>
      <c r="O94" s="2">
        <v>46377</v>
      </c>
      <c r="Q94" t="s">
        <v>27</v>
      </c>
      <c r="R94">
        <v>12</v>
      </c>
      <c r="S94">
        <v>6.08</v>
      </c>
      <c r="T94" t="s">
        <v>39</v>
      </c>
      <c r="U94" t="s">
        <v>306</v>
      </c>
      <c r="V94" t="s">
        <v>327</v>
      </c>
      <c r="W94">
        <v>16.5</v>
      </c>
    </row>
    <row r="95" spans="1:23" x14ac:dyDescent="0.3">
      <c r="A95" t="s">
        <v>165</v>
      </c>
      <c r="B95" t="s">
        <v>30</v>
      </c>
      <c r="C95" t="s">
        <v>45</v>
      </c>
      <c r="D95">
        <v>13</v>
      </c>
      <c r="E95">
        <v>7</v>
      </c>
      <c r="F95">
        <v>970</v>
      </c>
      <c r="G95">
        <f>20+10+10+1000+555+5</f>
        <v>1600</v>
      </c>
      <c r="H95">
        <v>1005</v>
      </c>
      <c r="I95">
        <f>D95-E95</f>
        <v>6</v>
      </c>
      <c r="J95">
        <f>5+1+3+7+5+13+1</f>
        <v>35</v>
      </c>
      <c r="K95">
        <v>14</v>
      </c>
      <c r="L95">
        <v>987.5</v>
      </c>
      <c r="M95">
        <v>1000</v>
      </c>
      <c r="N95" s="2">
        <v>46011</v>
      </c>
      <c r="O95" s="2">
        <v>47107</v>
      </c>
      <c r="P95" s="2">
        <v>46013</v>
      </c>
      <c r="Q95" t="s">
        <v>27</v>
      </c>
      <c r="R95">
        <v>36</v>
      </c>
      <c r="S95">
        <v>52.55</v>
      </c>
      <c r="T95" t="s">
        <v>40</v>
      </c>
      <c r="U95" t="s">
        <v>202</v>
      </c>
      <c r="V95" t="s">
        <v>329</v>
      </c>
      <c r="W95">
        <v>16</v>
      </c>
    </row>
    <row r="96" spans="1:23" x14ac:dyDescent="0.3">
      <c r="A96" t="s">
        <v>163</v>
      </c>
      <c r="B96" t="s">
        <v>164</v>
      </c>
      <c r="C96" t="s">
        <v>45</v>
      </c>
      <c r="D96">
        <v>6</v>
      </c>
      <c r="E96">
        <v>5</v>
      </c>
      <c r="F96">
        <v>757</v>
      </c>
      <c r="G96">
        <f>2+2+2+447+42</f>
        <v>495</v>
      </c>
      <c r="H96">
        <v>900</v>
      </c>
      <c r="I96">
        <v>1</v>
      </c>
      <c r="J96">
        <v>964</v>
      </c>
      <c r="K96">
        <v>21</v>
      </c>
      <c r="L96">
        <v>828.5</v>
      </c>
      <c r="M96">
        <v>750</v>
      </c>
      <c r="N96" s="2">
        <v>46014</v>
      </c>
      <c r="O96" s="2">
        <v>46379</v>
      </c>
      <c r="P96" s="2">
        <v>46015</v>
      </c>
      <c r="Q96" t="s">
        <v>27</v>
      </c>
      <c r="R96">
        <v>12</v>
      </c>
      <c r="S96">
        <v>5.18</v>
      </c>
      <c r="T96" t="s">
        <v>39</v>
      </c>
      <c r="V96" t="s">
        <v>329</v>
      </c>
      <c r="W96">
        <v>16</v>
      </c>
    </row>
    <row r="97" spans="1:23" x14ac:dyDescent="0.3">
      <c r="A97" t="s">
        <v>160</v>
      </c>
      <c r="B97" t="s">
        <v>161</v>
      </c>
      <c r="C97" t="s">
        <v>45</v>
      </c>
      <c r="D97">
        <v>15</v>
      </c>
      <c r="E97">
        <v>13</v>
      </c>
      <c r="F97">
        <v>1000</v>
      </c>
      <c r="G97">
        <f>1+1+10+50+100+11+1+48+111+29+13+1+136</f>
        <v>512</v>
      </c>
      <c r="H97">
        <v>1010</v>
      </c>
      <c r="I97">
        <v>2</v>
      </c>
      <c r="J97">
        <f>289+10</f>
        <v>299</v>
      </c>
      <c r="K97">
        <v>21.5</v>
      </c>
      <c r="L97">
        <v>1005</v>
      </c>
      <c r="M97">
        <v>1000</v>
      </c>
      <c r="N97" s="2">
        <v>46015</v>
      </c>
      <c r="O97" s="2">
        <v>46197</v>
      </c>
      <c r="P97" s="2">
        <v>46016</v>
      </c>
      <c r="Q97" t="s">
        <v>27</v>
      </c>
      <c r="R97">
        <v>6</v>
      </c>
      <c r="S97">
        <v>6.48</v>
      </c>
      <c r="T97" t="s">
        <v>39</v>
      </c>
      <c r="U97" t="s">
        <v>162</v>
      </c>
      <c r="V97" t="s">
        <v>329</v>
      </c>
      <c r="W97">
        <v>16</v>
      </c>
    </row>
    <row r="98" spans="1:23" x14ac:dyDescent="0.3">
      <c r="A98" t="s">
        <v>156</v>
      </c>
      <c r="B98" t="s">
        <v>157</v>
      </c>
      <c r="C98" t="s">
        <v>45</v>
      </c>
      <c r="D98">
        <v>12</v>
      </c>
      <c r="E98">
        <v>7</v>
      </c>
      <c r="F98">
        <v>1000</v>
      </c>
      <c r="G98">
        <f>38+20+505+78+32+500+555</f>
        <v>1728</v>
      </c>
      <c r="H98">
        <v>1034</v>
      </c>
      <c r="I98">
        <f>D98-E98</f>
        <v>5</v>
      </c>
      <c r="J98">
        <f>5+15+12+20+1</f>
        <v>53</v>
      </c>
      <c r="K98">
        <v>18.75</v>
      </c>
      <c r="L98">
        <v>1017</v>
      </c>
      <c r="M98">
        <v>1000</v>
      </c>
      <c r="N98" s="2">
        <v>46020</v>
      </c>
      <c r="O98" s="2">
        <v>46385</v>
      </c>
      <c r="P98" s="2">
        <v>46021</v>
      </c>
      <c r="Q98" t="s">
        <v>27</v>
      </c>
      <c r="R98">
        <v>12</v>
      </c>
      <c r="S98">
        <v>3.08</v>
      </c>
      <c r="T98" t="s">
        <v>39</v>
      </c>
      <c r="U98" t="s">
        <v>158</v>
      </c>
      <c r="V98" t="s">
        <v>329</v>
      </c>
      <c r="W98">
        <v>16</v>
      </c>
    </row>
    <row r="99" spans="1:23" x14ac:dyDescent="0.3">
      <c r="A99" t="s">
        <v>159</v>
      </c>
      <c r="B99" t="s">
        <v>47</v>
      </c>
      <c r="C99" t="s">
        <v>45</v>
      </c>
      <c r="D99">
        <v>7</v>
      </c>
      <c r="E99">
        <v>7</v>
      </c>
      <c r="F99">
        <v>1008</v>
      </c>
      <c r="G99">
        <f>1+1+1+500+100+532+13</f>
        <v>1148</v>
      </c>
      <c r="H99">
        <v>0</v>
      </c>
      <c r="I99">
        <v>0</v>
      </c>
      <c r="J99">
        <v>0</v>
      </c>
      <c r="K99">
        <v>18.5</v>
      </c>
      <c r="L99">
        <v>1008</v>
      </c>
      <c r="M99">
        <v>1000</v>
      </c>
      <c r="N99" s="2">
        <v>46021</v>
      </c>
      <c r="O99" s="2">
        <v>46020</v>
      </c>
      <c r="P99" s="2">
        <v>46021</v>
      </c>
      <c r="Q99" t="s">
        <v>27</v>
      </c>
      <c r="R99">
        <v>12</v>
      </c>
      <c r="S99">
        <v>3.04</v>
      </c>
      <c r="T99" t="s">
        <v>39</v>
      </c>
      <c r="U99" t="s">
        <v>49</v>
      </c>
      <c r="V99" t="s">
        <v>329</v>
      </c>
      <c r="W99">
        <v>16</v>
      </c>
    </row>
    <row r="100" spans="1:23" x14ac:dyDescent="0.3">
      <c r="A100" t="s">
        <v>9</v>
      </c>
      <c r="B100" t="s">
        <v>13</v>
      </c>
      <c r="C100" t="s">
        <v>45</v>
      </c>
      <c r="D100">
        <f>E100+I100</f>
        <v>1</v>
      </c>
      <c r="E100">
        <v>1</v>
      </c>
      <c r="F100">
        <v>1100</v>
      </c>
      <c r="G100">
        <v>9</v>
      </c>
      <c r="H100">
        <v>0</v>
      </c>
      <c r="I100">
        <v>0</v>
      </c>
      <c r="J100">
        <v>0</v>
      </c>
      <c r="K100">
        <v>23</v>
      </c>
      <c r="M100">
        <v>1100</v>
      </c>
      <c r="N100" s="2">
        <v>46021</v>
      </c>
      <c r="O100" s="2">
        <v>46266</v>
      </c>
      <c r="P100" s="2">
        <v>46266</v>
      </c>
      <c r="Q100" t="s">
        <v>27</v>
      </c>
      <c r="R100">
        <v>10</v>
      </c>
      <c r="S100" t="s">
        <v>59</v>
      </c>
      <c r="T100" t="s">
        <v>39</v>
      </c>
      <c r="V100" t="s">
        <v>328</v>
      </c>
      <c r="W100">
        <v>16</v>
      </c>
    </row>
    <row r="101" spans="1:23" x14ac:dyDescent="0.3">
      <c r="A101" t="s">
        <v>155</v>
      </c>
      <c r="B101" t="s">
        <v>30</v>
      </c>
      <c r="C101" t="s">
        <v>94</v>
      </c>
      <c r="D101">
        <v>6</v>
      </c>
      <c r="E101">
        <v>6</v>
      </c>
      <c r="F101">
        <v>118</v>
      </c>
      <c r="G101">
        <f>2+10+25+100+200+150</f>
        <v>487</v>
      </c>
      <c r="H101">
        <v>0</v>
      </c>
      <c r="I101">
        <v>0</v>
      </c>
      <c r="J101">
        <v>0</v>
      </c>
      <c r="L101">
        <v>128.5</v>
      </c>
      <c r="M101">
        <v>118</v>
      </c>
      <c r="N101" s="2">
        <v>46037</v>
      </c>
      <c r="O101" s="2">
        <v>46416</v>
      </c>
      <c r="P101" s="2">
        <v>46038</v>
      </c>
      <c r="Q101" t="s">
        <v>96</v>
      </c>
      <c r="R101">
        <v>12</v>
      </c>
      <c r="U101" t="s">
        <v>202</v>
      </c>
      <c r="V101" t="s">
        <v>329</v>
      </c>
      <c r="W101">
        <v>16</v>
      </c>
    </row>
    <row r="102" spans="1:23" x14ac:dyDescent="0.3">
      <c r="A102" t="s">
        <v>154</v>
      </c>
      <c r="B102" t="s">
        <v>30</v>
      </c>
      <c r="C102" t="s">
        <v>94</v>
      </c>
      <c r="D102">
        <v>7</v>
      </c>
      <c r="E102">
        <v>6</v>
      </c>
      <c r="F102">
        <v>118</v>
      </c>
      <c r="G102">
        <f>1+1+18+25+100+200</f>
        <v>345</v>
      </c>
      <c r="H102">
        <v>130</v>
      </c>
      <c r="I102">
        <v>1</v>
      </c>
      <c r="J102">
        <v>2</v>
      </c>
      <c r="L102">
        <v>124</v>
      </c>
      <c r="M102">
        <v>118</v>
      </c>
      <c r="N102" s="2">
        <v>46038</v>
      </c>
      <c r="O102" s="2">
        <v>46419</v>
      </c>
      <c r="P102" s="2">
        <v>46041</v>
      </c>
      <c r="Q102" t="s">
        <v>96</v>
      </c>
      <c r="R102">
        <v>12</v>
      </c>
      <c r="U102" t="s">
        <v>202</v>
      </c>
      <c r="V102" t="s">
        <v>329</v>
      </c>
      <c r="W102">
        <v>16</v>
      </c>
    </row>
    <row r="103" spans="1:23" x14ac:dyDescent="0.3">
      <c r="A103" t="s">
        <v>153</v>
      </c>
      <c r="B103" t="s">
        <v>30</v>
      </c>
      <c r="C103" t="s">
        <v>94</v>
      </c>
      <c r="D103">
        <v>15</v>
      </c>
      <c r="E103">
        <v>6</v>
      </c>
      <c r="F103">
        <v>117</v>
      </c>
      <c r="G103">
        <f>1+24+21+200+36+1</f>
        <v>283</v>
      </c>
      <c r="H103">
        <v>122</v>
      </c>
      <c r="I103">
        <f>D103-E103</f>
        <v>9</v>
      </c>
      <c r="J103">
        <f>10*8+15</f>
        <v>95</v>
      </c>
      <c r="L103">
        <v>119.5</v>
      </c>
      <c r="M103">
        <v>117</v>
      </c>
      <c r="N103" s="2">
        <v>46041</v>
      </c>
      <c r="O103" s="2">
        <v>46420</v>
      </c>
      <c r="P103" s="2">
        <v>46042</v>
      </c>
      <c r="Q103" t="s">
        <v>96</v>
      </c>
      <c r="R103">
        <v>12</v>
      </c>
      <c r="U103" t="s">
        <v>202</v>
      </c>
      <c r="V103" t="s">
        <v>329</v>
      </c>
      <c r="W103">
        <v>16</v>
      </c>
    </row>
    <row r="104" spans="1:23" x14ac:dyDescent="0.3">
      <c r="A104" t="s">
        <v>152</v>
      </c>
      <c r="B104" t="s">
        <v>30</v>
      </c>
      <c r="C104" t="s">
        <v>94</v>
      </c>
      <c r="D104">
        <v>7</v>
      </c>
      <c r="E104">
        <v>5</v>
      </c>
      <c r="F104">
        <v>120</v>
      </c>
      <c r="G104">
        <f>5+20+20+100+200</f>
        <v>345</v>
      </c>
      <c r="H104">
        <v>129</v>
      </c>
      <c r="I104">
        <v>2</v>
      </c>
      <c r="J104">
        <f>3+17</f>
        <v>20</v>
      </c>
      <c r="L104">
        <v>124.5</v>
      </c>
      <c r="M104">
        <v>120</v>
      </c>
      <c r="N104" s="2">
        <v>46043</v>
      </c>
      <c r="O104" s="2">
        <v>46057</v>
      </c>
      <c r="P104" s="2">
        <v>46044</v>
      </c>
      <c r="Q104" t="s">
        <v>96</v>
      </c>
      <c r="R104">
        <v>12</v>
      </c>
      <c r="U104" t="s">
        <v>202</v>
      </c>
      <c r="V104" t="s">
        <v>329</v>
      </c>
      <c r="W104">
        <v>16</v>
      </c>
    </row>
    <row r="105" spans="1:23" x14ac:dyDescent="0.3">
      <c r="A105" t="s">
        <v>303</v>
      </c>
      <c r="B105" t="s">
        <v>302</v>
      </c>
      <c r="C105" t="s">
        <v>45</v>
      </c>
      <c r="D105">
        <v>26</v>
      </c>
      <c r="E105">
        <v>15</v>
      </c>
      <c r="F105">
        <v>1046.67</v>
      </c>
      <c r="G105">
        <f>1+1+2+3+1+2+3+3+7+3+50+148+1+2+1</f>
        <v>228</v>
      </c>
      <c r="H105">
        <v>1060.98</v>
      </c>
      <c r="I105">
        <v>11</v>
      </c>
      <c r="J105">
        <f>5+2+5+1+5+5+12+4+1+2+2</f>
        <v>44</v>
      </c>
      <c r="K105">
        <v>21</v>
      </c>
      <c r="L105">
        <v>1060.98</v>
      </c>
      <c r="M105" s="1">
        <v>1000</v>
      </c>
      <c r="N105" s="2">
        <v>46045</v>
      </c>
      <c r="O105" s="2">
        <v>46363</v>
      </c>
      <c r="Q105" t="s">
        <v>27</v>
      </c>
      <c r="R105">
        <v>11</v>
      </c>
      <c r="S105">
        <v>4.0199999999999996</v>
      </c>
      <c r="T105" t="s">
        <v>39</v>
      </c>
      <c r="V105" t="s">
        <v>327</v>
      </c>
      <c r="W105">
        <v>16</v>
      </c>
    </row>
    <row r="106" spans="1:23" x14ac:dyDescent="0.3">
      <c r="A106" t="s">
        <v>151</v>
      </c>
      <c r="B106" t="s">
        <v>30</v>
      </c>
      <c r="C106" t="s">
        <v>94</v>
      </c>
      <c r="D106">
        <v>4</v>
      </c>
      <c r="E106">
        <v>4</v>
      </c>
      <c r="F106">
        <v>122</v>
      </c>
      <c r="G106">
        <f>12+1+200+42</f>
        <v>255</v>
      </c>
      <c r="H106">
        <v>0</v>
      </c>
      <c r="I106">
        <v>0</v>
      </c>
      <c r="J106">
        <v>0</v>
      </c>
      <c r="L106">
        <v>126.5</v>
      </c>
      <c r="M106">
        <v>122</v>
      </c>
      <c r="N106" s="2">
        <v>46048</v>
      </c>
      <c r="O106" s="2">
        <v>46427</v>
      </c>
      <c r="P106" s="2">
        <v>46049</v>
      </c>
      <c r="Q106" t="s">
        <v>96</v>
      </c>
      <c r="R106">
        <v>12</v>
      </c>
      <c r="U106" t="s">
        <v>202</v>
      </c>
      <c r="V106" t="s">
        <v>329</v>
      </c>
      <c r="W106">
        <v>16</v>
      </c>
    </row>
    <row r="107" spans="1:23" x14ac:dyDescent="0.3">
      <c r="A107" t="s">
        <v>149</v>
      </c>
      <c r="B107" t="s">
        <v>30</v>
      </c>
      <c r="C107" t="s">
        <v>94</v>
      </c>
      <c r="D107">
        <v>5</v>
      </c>
      <c r="E107">
        <v>4</v>
      </c>
      <c r="F107">
        <v>111</v>
      </c>
      <c r="G107">
        <f>12+15+15+105</f>
        <v>147</v>
      </c>
      <c r="H107">
        <v>129</v>
      </c>
      <c r="I107">
        <v>1</v>
      </c>
      <c r="J107">
        <v>102</v>
      </c>
      <c r="L107">
        <v>120</v>
      </c>
      <c r="M107">
        <v>127</v>
      </c>
      <c r="N107" s="2">
        <v>46050</v>
      </c>
      <c r="O107" s="2">
        <v>46429</v>
      </c>
      <c r="P107" s="2">
        <v>46051</v>
      </c>
      <c r="Q107" t="s">
        <v>96</v>
      </c>
      <c r="R107">
        <v>12</v>
      </c>
      <c r="U107" t="s">
        <v>202</v>
      </c>
      <c r="V107" t="s">
        <v>329</v>
      </c>
      <c r="W107">
        <v>16</v>
      </c>
    </row>
    <row r="108" spans="1:23" x14ac:dyDescent="0.3">
      <c r="A108" t="s">
        <v>148</v>
      </c>
      <c r="B108" t="s">
        <v>30</v>
      </c>
      <c r="C108" t="s">
        <v>94</v>
      </c>
      <c r="D108">
        <v>3</v>
      </c>
      <c r="E108">
        <v>3</v>
      </c>
      <c r="F108">
        <v>108</v>
      </c>
      <c r="G108">
        <f>22+115+1</f>
        <v>138</v>
      </c>
      <c r="H108">
        <v>0</v>
      </c>
      <c r="I108">
        <v>0</v>
      </c>
      <c r="J108">
        <v>0</v>
      </c>
      <c r="L108">
        <v>131</v>
      </c>
      <c r="M108">
        <v>131</v>
      </c>
      <c r="N108" s="2">
        <v>46051</v>
      </c>
      <c r="O108" s="2">
        <v>46430</v>
      </c>
      <c r="P108" s="2">
        <v>46052</v>
      </c>
      <c r="Q108" t="s">
        <v>96</v>
      </c>
      <c r="R108">
        <v>12</v>
      </c>
      <c r="U108" t="s">
        <v>202</v>
      </c>
      <c r="V108" t="s">
        <v>329</v>
      </c>
      <c r="W108">
        <v>16</v>
      </c>
    </row>
    <row r="109" spans="1:23" x14ac:dyDescent="0.3">
      <c r="A109" t="s">
        <v>150</v>
      </c>
      <c r="B109" t="s">
        <v>30</v>
      </c>
      <c r="C109" t="s">
        <v>45</v>
      </c>
      <c r="D109">
        <v>6</v>
      </c>
      <c r="E109">
        <v>6</v>
      </c>
      <c r="F109">
        <v>1010</v>
      </c>
      <c r="G109">
        <f>100+50+50+302+555+10</f>
        <v>1067</v>
      </c>
      <c r="H109">
        <v>0</v>
      </c>
      <c r="I109">
        <v>0</v>
      </c>
      <c r="J109">
        <v>0</v>
      </c>
      <c r="K109">
        <v>15.18</v>
      </c>
      <c r="L109">
        <v>1010</v>
      </c>
      <c r="M109">
        <v>1000</v>
      </c>
      <c r="N109" s="2">
        <v>46051</v>
      </c>
      <c r="O109" s="2">
        <v>46232</v>
      </c>
      <c r="P109" s="2">
        <v>46051</v>
      </c>
      <c r="Q109" t="s">
        <v>27</v>
      </c>
      <c r="R109">
        <v>6</v>
      </c>
      <c r="S109">
        <v>39.83</v>
      </c>
      <c r="T109" t="s">
        <v>40</v>
      </c>
      <c r="U109" t="s">
        <v>202</v>
      </c>
      <c r="V109" t="s">
        <v>329</v>
      </c>
      <c r="W109">
        <v>16</v>
      </c>
    </row>
    <row r="110" spans="1:23" x14ac:dyDescent="0.3">
      <c r="A110" t="s">
        <v>147</v>
      </c>
      <c r="B110" t="s">
        <v>30</v>
      </c>
      <c r="C110" t="s">
        <v>94</v>
      </c>
      <c r="D110">
        <v>5</v>
      </c>
      <c r="E110">
        <v>4</v>
      </c>
      <c r="F110">
        <v>117</v>
      </c>
      <c r="G110">
        <f>3+22+105+110</f>
        <v>240</v>
      </c>
      <c r="H110">
        <v>125</v>
      </c>
      <c r="I110">
        <v>1</v>
      </c>
      <c r="J110">
        <v>11</v>
      </c>
      <c r="L110">
        <v>121</v>
      </c>
      <c r="M110">
        <v>125</v>
      </c>
      <c r="N110" s="2">
        <v>46055</v>
      </c>
      <c r="O110" s="2">
        <v>46434</v>
      </c>
      <c r="P110" s="2">
        <v>46056</v>
      </c>
      <c r="Q110" t="s">
        <v>96</v>
      </c>
      <c r="R110">
        <v>12</v>
      </c>
      <c r="U110" t="s">
        <v>202</v>
      </c>
      <c r="V110" t="s">
        <v>329</v>
      </c>
      <c r="W110">
        <v>16</v>
      </c>
    </row>
    <row r="111" spans="1:23" x14ac:dyDescent="0.3">
      <c r="A111" t="s">
        <v>144</v>
      </c>
      <c r="B111" t="s">
        <v>30</v>
      </c>
      <c r="C111" t="s">
        <v>94</v>
      </c>
      <c r="D111">
        <v>7</v>
      </c>
      <c r="E111">
        <v>7</v>
      </c>
      <c r="F111">
        <v>117</v>
      </c>
      <c r="G111">
        <f>3+16+19+105+100+391+36</f>
        <v>670</v>
      </c>
      <c r="H111">
        <v>0</v>
      </c>
      <c r="I111">
        <v>0</v>
      </c>
      <c r="J111">
        <v>0</v>
      </c>
      <c r="L111">
        <v>125.5</v>
      </c>
      <c r="M111">
        <v>117</v>
      </c>
      <c r="N111" s="2">
        <v>46056</v>
      </c>
      <c r="O111" s="2">
        <v>46435</v>
      </c>
      <c r="P111" s="2">
        <v>46057</v>
      </c>
      <c r="Q111" t="s">
        <v>96</v>
      </c>
      <c r="R111">
        <v>12</v>
      </c>
      <c r="U111" t="s">
        <v>202</v>
      </c>
      <c r="V111" t="s">
        <v>329</v>
      </c>
      <c r="W111">
        <v>16</v>
      </c>
    </row>
    <row r="112" spans="1:23" x14ac:dyDescent="0.3">
      <c r="A112" t="s">
        <v>145</v>
      </c>
      <c r="B112" t="s">
        <v>30</v>
      </c>
      <c r="C112" t="s">
        <v>45</v>
      </c>
      <c r="D112">
        <v>2</v>
      </c>
      <c r="E112">
        <v>2</v>
      </c>
      <c r="F112">
        <v>1003</v>
      </c>
      <c r="G112">
        <f>51+50</f>
        <v>101</v>
      </c>
      <c r="H112">
        <v>0</v>
      </c>
      <c r="I112">
        <v>0</v>
      </c>
      <c r="J112">
        <v>0</v>
      </c>
      <c r="K112">
        <v>15.2</v>
      </c>
      <c r="L112">
        <v>1003</v>
      </c>
      <c r="M112">
        <v>1000</v>
      </c>
      <c r="N112" s="2">
        <v>46056</v>
      </c>
      <c r="O112" s="2">
        <v>46147</v>
      </c>
      <c r="P112" s="2">
        <v>46056</v>
      </c>
      <c r="Q112" t="s">
        <v>27</v>
      </c>
      <c r="R112">
        <v>3</v>
      </c>
      <c r="S112">
        <v>37.9</v>
      </c>
      <c r="T112" t="s">
        <v>40</v>
      </c>
      <c r="U112" t="s">
        <v>202</v>
      </c>
      <c r="V112" t="s">
        <v>329</v>
      </c>
      <c r="W112">
        <v>16</v>
      </c>
    </row>
    <row r="113" spans="1:23" x14ac:dyDescent="0.3">
      <c r="A113" t="s">
        <v>146</v>
      </c>
      <c r="B113" t="s">
        <v>30</v>
      </c>
      <c r="C113" t="s">
        <v>45</v>
      </c>
      <c r="D113">
        <v>3</v>
      </c>
      <c r="E113">
        <v>3</v>
      </c>
      <c r="F113">
        <v>1001</v>
      </c>
      <c r="G113">
        <f>11+7+10</f>
        <v>28</v>
      </c>
      <c r="H113">
        <v>0</v>
      </c>
      <c r="I113">
        <v>0</v>
      </c>
      <c r="J113">
        <v>0</v>
      </c>
      <c r="K113">
        <v>15.68</v>
      </c>
      <c r="L113">
        <v>1001</v>
      </c>
      <c r="M113">
        <v>1000</v>
      </c>
      <c r="N113" s="2">
        <v>46056</v>
      </c>
      <c r="O113" s="2">
        <v>46058</v>
      </c>
      <c r="P113" s="2">
        <v>46056</v>
      </c>
      <c r="Q113" t="s">
        <v>27</v>
      </c>
      <c r="R113">
        <v>3</v>
      </c>
      <c r="S113">
        <v>39.090000000000003</v>
      </c>
      <c r="T113" t="s">
        <v>40</v>
      </c>
      <c r="U113" t="s">
        <v>202</v>
      </c>
      <c r="V113" t="s">
        <v>329</v>
      </c>
      <c r="W113">
        <v>16</v>
      </c>
    </row>
    <row r="114" spans="1:23" x14ac:dyDescent="0.3">
      <c r="A114" t="s">
        <v>143</v>
      </c>
      <c r="B114" t="s">
        <v>30</v>
      </c>
      <c r="C114" t="s">
        <v>45</v>
      </c>
      <c r="D114">
        <v>2</v>
      </c>
      <c r="E114">
        <v>2</v>
      </c>
      <c r="F114">
        <v>1006</v>
      </c>
      <c r="G114">
        <v>21</v>
      </c>
      <c r="H114">
        <v>0</v>
      </c>
      <c r="I114">
        <v>0</v>
      </c>
      <c r="J114">
        <v>0</v>
      </c>
      <c r="K114">
        <v>15.7</v>
      </c>
      <c r="L114">
        <v>1006</v>
      </c>
      <c r="M114">
        <v>1000</v>
      </c>
      <c r="N114" s="2">
        <v>46057</v>
      </c>
      <c r="O114" s="2">
        <v>46147</v>
      </c>
      <c r="P114" s="2">
        <v>46057</v>
      </c>
      <c r="Q114" t="s">
        <v>27</v>
      </c>
      <c r="R114">
        <v>3</v>
      </c>
      <c r="S114">
        <v>38.71</v>
      </c>
      <c r="T114" t="s">
        <v>40</v>
      </c>
      <c r="U114" t="s">
        <v>202</v>
      </c>
      <c r="V114" t="s">
        <v>329</v>
      </c>
      <c r="W114">
        <v>16</v>
      </c>
    </row>
    <row r="115" spans="1:23" x14ac:dyDescent="0.3">
      <c r="A115" t="s">
        <v>140</v>
      </c>
      <c r="B115" t="s">
        <v>112</v>
      </c>
      <c r="C115" t="s">
        <v>45</v>
      </c>
      <c r="D115">
        <v>6</v>
      </c>
      <c r="E115">
        <v>5</v>
      </c>
      <c r="F115">
        <v>5812</v>
      </c>
      <c r="G115">
        <f>1+10+7+7+5</f>
        <v>30</v>
      </c>
      <c r="H115">
        <v>6400</v>
      </c>
      <c r="I115">
        <v>1</v>
      </c>
      <c r="J115">
        <v>1</v>
      </c>
      <c r="K115">
        <v>18.5</v>
      </c>
      <c r="L115">
        <v>6106</v>
      </c>
      <c r="M115">
        <v>6100</v>
      </c>
      <c r="N115" s="2">
        <v>46058</v>
      </c>
      <c r="O115" s="2">
        <v>46148</v>
      </c>
      <c r="P115" s="2">
        <v>46059</v>
      </c>
      <c r="Q115" t="s">
        <v>27</v>
      </c>
      <c r="R115">
        <v>3</v>
      </c>
      <c r="T115" t="s">
        <v>40</v>
      </c>
      <c r="U115" t="s">
        <v>125</v>
      </c>
      <c r="V115" t="s">
        <v>329</v>
      </c>
      <c r="W115">
        <v>16</v>
      </c>
    </row>
    <row r="116" spans="1:23" x14ac:dyDescent="0.3">
      <c r="A116" t="s">
        <v>142</v>
      </c>
      <c r="B116" t="s">
        <v>30</v>
      </c>
      <c r="C116" t="s">
        <v>45</v>
      </c>
      <c r="D116">
        <v>2</v>
      </c>
      <c r="E116">
        <v>2</v>
      </c>
      <c r="F116">
        <v>1001</v>
      </c>
      <c r="G116">
        <v>21</v>
      </c>
      <c r="H116">
        <v>0</v>
      </c>
      <c r="I116">
        <v>0</v>
      </c>
      <c r="J116">
        <v>0</v>
      </c>
      <c r="K116">
        <v>15.68</v>
      </c>
      <c r="L116">
        <v>1001</v>
      </c>
      <c r="M116">
        <v>1000</v>
      </c>
      <c r="N116" s="2">
        <v>46058</v>
      </c>
      <c r="O116" s="2">
        <v>46149</v>
      </c>
      <c r="P116" s="2">
        <v>46058</v>
      </c>
      <c r="Q116" t="s">
        <v>27</v>
      </c>
      <c r="R116">
        <v>3</v>
      </c>
      <c r="S116">
        <v>38.229999999999997</v>
      </c>
      <c r="T116" t="s">
        <v>40</v>
      </c>
      <c r="U116" t="s">
        <v>202</v>
      </c>
      <c r="V116" t="s">
        <v>329</v>
      </c>
      <c r="W116">
        <v>16</v>
      </c>
    </row>
    <row r="117" spans="1:23" x14ac:dyDescent="0.3">
      <c r="A117" t="s">
        <v>139</v>
      </c>
      <c r="B117" t="s">
        <v>30</v>
      </c>
      <c r="C117" t="s">
        <v>94</v>
      </c>
      <c r="D117">
        <v>7</v>
      </c>
      <c r="E117">
        <v>6</v>
      </c>
      <c r="F117">
        <v>116</v>
      </c>
      <c r="G117">
        <f>5+25+105+100+99+100</f>
        <v>434</v>
      </c>
      <c r="H117">
        <v>123</v>
      </c>
      <c r="I117">
        <v>1</v>
      </c>
      <c r="J117">
        <v>66</v>
      </c>
      <c r="L117">
        <v>119.5</v>
      </c>
      <c r="M117">
        <v>123</v>
      </c>
      <c r="N117" s="2">
        <v>46059</v>
      </c>
      <c r="O117" s="2">
        <v>46438</v>
      </c>
      <c r="P117" s="2">
        <v>46062</v>
      </c>
      <c r="Q117" t="s">
        <v>96</v>
      </c>
      <c r="R117">
        <v>12</v>
      </c>
      <c r="U117" t="s">
        <v>202</v>
      </c>
      <c r="V117" t="s">
        <v>329</v>
      </c>
      <c r="W117">
        <v>16</v>
      </c>
    </row>
    <row r="118" spans="1:23" x14ac:dyDescent="0.3">
      <c r="A118" t="s">
        <v>7</v>
      </c>
      <c r="B118" t="s">
        <v>8</v>
      </c>
      <c r="C118" t="s">
        <v>45</v>
      </c>
      <c r="D118">
        <f>E118+I118</f>
        <v>15</v>
      </c>
      <c r="E118">
        <v>7</v>
      </c>
      <c r="F118">
        <v>1030</v>
      </c>
      <c r="G118">
        <f>82+55+41+41+41+34+41+99</f>
        <v>434</v>
      </c>
      <c r="H118">
        <v>900</v>
      </c>
      <c r="I118">
        <f>2+6</f>
        <v>8</v>
      </c>
      <c r="J118">
        <v>14</v>
      </c>
      <c r="K118">
        <v>23</v>
      </c>
      <c r="M118" s="1">
        <v>1000</v>
      </c>
      <c r="N118" s="2">
        <v>46059</v>
      </c>
      <c r="O118" s="2">
        <v>46240</v>
      </c>
      <c r="P118" s="2">
        <v>46240</v>
      </c>
      <c r="Q118" t="s">
        <v>27</v>
      </c>
      <c r="R118">
        <v>6</v>
      </c>
      <c r="S118" t="s">
        <v>59</v>
      </c>
      <c r="T118" t="s">
        <v>39</v>
      </c>
      <c r="V118" t="s">
        <v>328</v>
      </c>
      <c r="W118">
        <v>16</v>
      </c>
    </row>
    <row r="119" spans="1:23" x14ac:dyDescent="0.3">
      <c r="A119" t="s">
        <v>137</v>
      </c>
      <c r="B119" t="s">
        <v>30</v>
      </c>
      <c r="C119" t="s">
        <v>45</v>
      </c>
      <c r="D119">
        <v>4</v>
      </c>
      <c r="E119">
        <v>4</v>
      </c>
      <c r="F119">
        <v>1000</v>
      </c>
      <c r="G119">
        <f>2+2+4+10</f>
        <v>18</v>
      </c>
      <c r="H119">
        <v>0</v>
      </c>
      <c r="I119">
        <v>0</v>
      </c>
      <c r="J119">
        <v>0</v>
      </c>
      <c r="K119">
        <v>15.7</v>
      </c>
      <c r="L119">
        <v>1000</v>
      </c>
      <c r="M119">
        <v>1000</v>
      </c>
      <c r="N119" s="2">
        <v>46060</v>
      </c>
      <c r="O119" s="2">
        <v>46148</v>
      </c>
      <c r="P119" s="2">
        <v>46062</v>
      </c>
      <c r="Q119" t="s">
        <v>27</v>
      </c>
      <c r="R119">
        <v>3</v>
      </c>
      <c r="S119">
        <v>37.42</v>
      </c>
      <c r="T119" t="s">
        <v>40</v>
      </c>
      <c r="U119" t="s">
        <v>202</v>
      </c>
      <c r="V119" t="s">
        <v>329</v>
      </c>
      <c r="W119">
        <v>16</v>
      </c>
    </row>
    <row r="120" spans="1:23" x14ac:dyDescent="0.3">
      <c r="A120" t="s">
        <v>138</v>
      </c>
      <c r="B120" t="s">
        <v>30</v>
      </c>
      <c r="C120" t="s">
        <v>45</v>
      </c>
      <c r="D120">
        <v>7</v>
      </c>
      <c r="E120">
        <v>4</v>
      </c>
      <c r="F120">
        <v>1015</v>
      </c>
      <c r="G120">
        <f>49+50+2+10</f>
        <v>111</v>
      </c>
      <c r="H120">
        <v>1040</v>
      </c>
      <c r="I120">
        <v>3</v>
      </c>
      <c r="J120">
        <f>10+9+7</f>
        <v>26</v>
      </c>
      <c r="K120">
        <v>15.4</v>
      </c>
      <c r="L120">
        <v>1027.5</v>
      </c>
      <c r="M120">
        <v>1000</v>
      </c>
      <c r="N120" s="2">
        <v>46060</v>
      </c>
      <c r="O120" s="2">
        <v>46148</v>
      </c>
      <c r="P120" s="2">
        <v>46062</v>
      </c>
      <c r="Q120" t="s">
        <v>27</v>
      </c>
      <c r="R120">
        <v>3</v>
      </c>
      <c r="S120">
        <v>36.71</v>
      </c>
      <c r="T120" t="s">
        <v>40</v>
      </c>
      <c r="U120" t="s">
        <v>202</v>
      </c>
      <c r="V120" t="s">
        <v>329</v>
      </c>
      <c r="W120">
        <v>16</v>
      </c>
    </row>
    <row r="121" spans="1:23" x14ac:dyDescent="0.3">
      <c r="A121" t="s">
        <v>136</v>
      </c>
      <c r="B121" t="s">
        <v>30</v>
      </c>
      <c r="C121" t="s">
        <v>94</v>
      </c>
      <c r="D121">
        <v>5</v>
      </c>
      <c r="E121">
        <v>2</v>
      </c>
      <c r="F121">
        <v>123</v>
      </c>
      <c r="G121">
        <f>98+3</f>
        <v>101</v>
      </c>
      <c r="H121">
        <v>127</v>
      </c>
      <c r="I121">
        <v>3</v>
      </c>
      <c r="J121">
        <f>1+2+5</f>
        <v>8</v>
      </c>
      <c r="L121">
        <v>125</v>
      </c>
      <c r="M121">
        <v>123</v>
      </c>
      <c r="N121" s="2">
        <v>46062</v>
      </c>
      <c r="O121" s="2">
        <v>46442</v>
      </c>
      <c r="P121" s="2">
        <v>46063</v>
      </c>
      <c r="Q121" t="s">
        <v>96</v>
      </c>
      <c r="R121">
        <v>12</v>
      </c>
      <c r="U121" t="s">
        <v>202</v>
      </c>
      <c r="V121" t="s">
        <v>329</v>
      </c>
      <c r="W121">
        <v>16</v>
      </c>
    </row>
    <row r="122" spans="1:23" x14ac:dyDescent="0.3">
      <c r="A122" t="s">
        <v>134</v>
      </c>
      <c r="B122" t="s">
        <v>30</v>
      </c>
      <c r="C122" t="s">
        <v>45</v>
      </c>
      <c r="D122">
        <v>7</v>
      </c>
      <c r="E122">
        <v>4</v>
      </c>
      <c r="F122">
        <v>1015</v>
      </c>
      <c r="G122">
        <f>50+302+1000+10</f>
        <v>1362</v>
      </c>
      <c r="H122">
        <v>1037</v>
      </c>
      <c r="I122">
        <v>3</v>
      </c>
      <c r="J122">
        <f>15+1+106</f>
        <v>122</v>
      </c>
      <c r="K122">
        <v>15.4</v>
      </c>
      <c r="L122">
        <v>1026</v>
      </c>
      <c r="M122">
        <v>1000</v>
      </c>
      <c r="N122" s="2">
        <v>46063</v>
      </c>
      <c r="O122" s="2">
        <v>46154</v>
      </c>
      <c r="P122" s="2">
        <v>46063</v>
      </c>
      <c r="Q122" t="s">
        <v>27</v>
      </c>
      <c r="R122">
        <v>3</v>
      </c>
      <c r="S122">
        <v>35.44</v>
      </c>
      <c r="T122" t="s">
        <v>40</v>
      </c>
      <c r="U122" t="s">
        <v>202</v>
      </c>
      <c r="V122" t="s">
        <v>329</v>
      </c>
      <c r="W122">
        <v>16</v>
      </c>
    </row>
    <row r="123" spans="1:23" x14ac:dyDescent="0.3">
      <c r="A123" t="s">
        <v>135</v>
      </c>
      <c r="B123" t="s">
        <v>30</v>
      </c>
      <c r="C123" t="s">
        <v>45</v>
      </c>
      <c r="D123">
        <v>3</v>
      </c>
      <c r="E123">
        <v>3</v>
      </c>
      <c r="F123">
        <v>1001</v>
      </c>
      <c r="G123">
        <f>50+1+10</f>
        <v>61</v>
      </c>
      <c r="H123">
        <v>0</v>
      </c>
      <c r="I123">
        <v>0</v>
      </c>
      <c r="J123">
        <v>0</v>
      </c>
      <c r="K123">
        <v>15.7</v>
      </c>
      <c r="L123">
        <v>1001</v>
      </c>
      <c r="M123">
        <v>1000</v>
      </c>
      <c r="N123" s="2">
        <v>46063</v>
      </c>
      <c r="O123" s="2">
        <v>46154</v>
      </c>
      <c r="P123" s="2">
        <v>46063</v>
      </c>
      <c r="Q123" t="s">
        <v>27</v>
      </c>
      <c r="R123">
        <v>3</v>
      </c>
      <c r="S123">
        <v>36.130000000000003</v>
      </c>
      <c r="T123" t="s">
        <v>40</v>
      </c>
      <c r="U123" t="s">
        <v>202</v>
      </c>
      <c r="V123" t="s">
        <v>329</v>
      </c>
      <c r="W123">
        <v>16</v>
      </c>
    </row>
    <row r="124" spans="1:23" x14ac:dyDescent="0.3">
      <c r="A124" t="s">
        <v>130</v>
      </c>
      <c r="B124" t="s">
        <v>57</v>
      </c>
      <c r="C124" t="s">
        <v>45</v>
      </c>
      <c r="D124">
        <v>12</v>
      </c>
      <c r="E124">
        <v>5</v>
      </c>
      <c r="F124">
        <v>1002</v>
      </c>
      <c r="G124">
        <f>100+180+46+45+32</f>
        <v>403</v>
      </c>
      <c r="H124">
        <v>1093</v>
      </c>
      <c r="I124">
        <f>D124-E124</f>
        <v>7</v>
      </c>
      <c r="J124">
        <f>10+1+2+3+7+10+20</f>
        <v>53</v>
      </c>
      <c r="K124">
        <v>21.5</v>
      </c>
      <c r="L124">
        <v>1047</v>
      </c>
      <c r="M124">
        <v>1000</v>
      </c>
      <c r="N124" s="2">
        <v>46065</v>
      </c>
      <c r="O124" s="2">
        <v>46338</v>
      </c>
      <c r="P124" s="2">
        <v>46066</v>
      </c>
      <c r="Q124" t="s">
        <v>27</v>
      </c>
      <c r="R124">
        <v>9</v>
      </c>
      <c r="S124">
        <v>12.37</v>
      </c>
      <c r="T124" t="s">
        <v>39</v>
      </c>
      <c r="U124" t="s">
        <v>58</v>
      </c>
      <c r="V124" t="s">
        <v>329</v>
      </c>
      <c r="W124">
        <v>16</v>
      </c>
    </row>
    <row r="125" spans="1:23" x14ac:dyDescent="0.3">
      <c r="A125" t="s">
        <v>131</v>
      </c>
      <c r="B125" t="s">
        <v>30</v>
      </c>
      <c r="C125" t="s">
        <v>45</v>
      </c>
      <c r="D125">
        <v>5</v>
      </c>
      <c r="E125">
        <v>4</v>
      </c>
      <c r="F125">
        <v>1016</v>
      </c>
      <c r="G125">
        <f>50+1+1+302</f>
        <v>354</v>
      </c>
      <c r="H125">
        <v>1037</v>
      </c>
      <c r="I125">
        <v>1</v>
      </c>
      <c r="J125">
        <v>111</v>
      </c>
      <c r="K125">
        <v>15.58</v>
      </c>
      <c r="L125">
        <v>1026.5</v>
      </c>
      <c r="M125">
        <v>1000</v>
      </c>
      <c r="N125" s="2">
        <v>46065</v>
      </c>
      <c r="O125" s="2">
        <v>46154</v>
      </c>
      <c r="P125" s="2">
        <v>46065</v>
      </c>
      <c r="Q125" t="s">
        <v>27</v>
      </c>
      <c r="R125">
        <v>3</v>
      </c>
      <c r="S125">
        <v>35</v>
      </c>
      <c r="T125" t="s">
        <v>40</v>
      </c>
      <c r="U125" t="s">
        <v>202</v>
      </c>
      <c r="V125" t="s">
        <v>329</v>
      </c>
      <c r="W125">
        <v>16</v>
      </c>
    </row>
    <row r="126" spans="1:23" x14ac:dyDescent="0.3">
      <c r="A126" t="s">
        <v>132</v>
      </c>
      <c r="B126" t="s">
        <v>30</v>
      </c>
      <c r="C126" t="s">
        <v>45</v>
      </c>
      <c r="D126">
        <v>3</v>
      </c>
      <c r="E126">
        <v>3</v>
      </c>
      <c r="F126">
        <v>1001</v>
      </c>
      <c r="G126">
        <v>22</v>
      </c>
      <c r="H126">
        <v>0</v>
      </c>
      <c r="I126">
        <v>0</v>
      </c>
      <c r="J126">
        <v>0</v>
      </c>
      <c r="K126">
        <v>15.76</v>
      </c>
      <c r="L126">
        <v>1001</v>
      </c>
      <c r="M126">
        <v>1000</v>
      </c>
      <c r="N126" s="2">
        <v>46065</v>
      </c>
      <c r="O126" s="2">
        <v>46154</v>
      </c>
      <c r="P126" s="2">
        <v>46065</v>
      </c>
      <c r="Q126" t="s">
        <v>27</v>
      </c>
      <c r="R126">
        <v>3</v>
      </c>
      <c r="S126">
        <v>35.409999999999997</v>
      </c>
      <c r="T126" t="s">
        <v>40</v>
      </c>
      <c r="U126" t="s">
        <v>202</v>
      </c>
      <c r="V126" t="s">
        <v>329</v>
      </c>
      <c r="W126">
        <v>16</v>
      </c>
    </row>
    <row r="127" spans="1:23" x14ac:dyDescent="0.3">
      <c r="A127" t="s">
        <v>133</v>
      </c>
      <c r="B127" t="s">
        <v>30</v>
      </c>
      <c r="C127" t="s">
        <v>45</v>
      </c>
      <c r="D127">
        <v>3</v>
      </c>
      <c r="E127">
        <v>3</v>
      </c>
      <c r="F127">
        <v>1005</v>
      </c>
      <c r="G127">
        <f>50+1000+10</f>
        <v>1060</v>
      </c>
      <c r="H127">
        <v>0</v>
      </c>
      <c r="I127">
        <v>0</v>
      </c>
      <c r="J127">
        <v>0</v>
      </c>
      <c r="K127">
        <v>15.35</v>
      </c>
      <c r="L127">
        <v>1005</v>
      </c>
      <c r="M127">
        <v>1000</v>
      </c>
      <c r="N127" s="2">
        <v>46065</v>
      </c>
      <c r="O127" s="2">
        <v>46154</v>
      </c>
      <c r="P127" s="2">
        <v>46065</v>
      </c>
      <c r="Q127" t="s">
        <v>27</v>
      </c>
      <c r="R127">
        <v>3</v>
      </c>
      <c r="S127">
        <v>8.83</v>
      </c>
      <c r="T127" t="s">
        <v>39</v>
      </c>
      <c r="U127" t="s">
        <v>202</v>
      </c>
      <c r="V127" t="s">
        <v>329</v>
      </c>
      <c r="W127">
        <v>16</v>
      </c>
    </row>
    <row r="128" spans="1:23" x14ac:dyDescent="0.3">
      <c r="A128" t="s">
        <v>11</v>
      </c>
      <c r="B128" t="s">
        <v>12</v>
      </c>
      <c r="C128" t="s">
        <v>45</v>
      </c>
      <c r="D128">
        <f>E128+I128</f>
        <v>1</v>
      </c>
      <c r="E128">
        <v>0</v>
      </c>
      <c r="F128">
        <v>0</v>
      </c>
      <c r="G128">
        <v>0</v>
      </c>
      <c r="H128">
        <v>1000</v>
      </c>
      <c r="I128">
        <v>1</v>
      </c>
      <c r="J128">
        <v>11</v>
      </c>
      <c r="K128">
        <v>24</v>
      </c>
      <c r="M128" s="1">
        <v>1000</v>
      </c>
      <c r="N128" s="2">
        <v>46066</v>
      </c>
      <c r="O128" s="2">
        <v>46339</v>
      </c>
      <c r="P128" s="2">
        <v>46339</v>
      </c>
      <c r="Q128" t="s">
        <v>27</v>
      </c>
      <c r="R128">
        <v>9</v>
      </c>
      <c r="S128" t="s">
        <v>59</v>
      </c>
      <c r="T128" t="s">
        <v>39</v>
      </c>
      <c r="V128" t="s">
        <v>328</v>
      </c>
      <c r="W128">
        <v>16</v>
      </c>
    </row>
    <row r="129" spans="1:23" x14ac:dyDescent="0.3">
      <c r="A129" t="s">
        <v>128</v>
      </c>
      <c r="B129" t="s">
        <v>30</v>
      </c>
      <c r="C129" t="s">
        <v>45</v>
      </c>
      <c r="D129">
        <v>1</v>
      </c>
      <c r="E129">
        <v>1</v>
      </c>
      <c r="F129">
        <v>1007</v>
      </c>
      <c r="G129">
        <v>11</v>
      </c>
      <c r="H129">
        <v>0</v>
      </c>
      <c r="I129">
        <v>0</v>
      </c>
      <c r="J129">
        <v>0</v>
      </c>
      <c r="K129">
        <v>15.76</v>
      </c>
      <c r="L129">
        <v>1007</v>
      </c>
      <c r="M129">
        <v>1000</v>
      </c>
      <c r="N129" s="2">
        <v>46067</v>
      </c>
      <c r="O129" s="2">
        <v>46155</v>
      </c>
      <c r="P129" s="2">
        <v>46069</v>
      </c>
      <c r="Q129" t="s">
        <v>27</v>
      </c>
      <c r="R129">
        <v>3</v>
      </c>
      <c r="S129">
        <v>34.54</v>
      </c>
      <c r="T129" t="s">
        <v>40</v>
      </c>
      <c r="U129" t="s">
        <v>202</v>
      </c>
      <c r="V129" t="s">
        <v>329</v>
      </c>
      <c r="W129">
        <v>15.5</v>
      </c>
    </row>
    <row r="130" spans="1:23" x14ac:dyDescent="0.3">
      <c r="A130" t="s">
        <v>129</v>
      </c>
      <c r="B130" t="s">
        <v>30</v>
      </c>
      <c r="C130" t="s">
        <v>45</v>
      </c>
      <c r="D130">
        <v>6</v>
      </c>
      <c r="E130">
        <v>3</v>
      </c>
      <c r="F130">
        <v>1014</v>
      </c>
      <c r="G130">
        <f>35+200+302</f>
        <v>537</v>
      </c>
      <c r="H130">
        <v>1036</v>
      </c>
      <c r="I130">
        <v>3</v>
      </c>
      <c r="J130">
        <f>45+50+31</f>
        <v>126</v>
      </c>
      <c r="K130">
        <v>15.58</v>
      </c>
      <c r="L130">
        <v>1025</v>
      </c>
      <c r="M130">
        <v>1000</v>
      </c>
      <c r="N130" s="2">
        <v>46067</v>
      </c>
      <c r="O130" s="2">
        <v>46155</v>
      </c>
      <c r="P130" s="2">
        <v>46069</v>
      </c>
      <c r="Q130" t="s">
        <v>27</v>
      </c>
      <c r="R130">
        <v>3</v>
      </c>
      <c r="S130">
        <v>34.15</v>
      </c>
      <c r="T130" t="s">
        <v>40</v>
      </c>
      <c r="U130" t="s">
        <v>202</v>
      </c>
      <c r="V130" t="s">
        <v>329</v>
      </c>
      <c r="W130">
        <v>15.5</v>
      </c>
    </row>
    <row r="131" spans="1:23" x14ac:dyDescent="0.3">
      <c r="A131" t="s">
        <v>124</v>
      </c>
      <c r="B131" t="s">
        <v>30</v>
      </c>
      <c r="C131" t="s">
        <v>94</v>
      </c>
      <c r="D131">
        <v>5</v>
      </c>
      <c r="E131">
        <v>4</v>
      </c>
      <c r="F131">
        <v>126</v>
      </c>
      <c r="G131">
        <f>8+24+105+101</f>
        <v>238</v>
      </c>
      <c r="H131">
        <v>129</v>
      </c>
      <c r="I131">
        <v>1</v>
      </c>
      <c r="J131">
        <v>1</v>
      </c>
      <c r="L131">
        <v>127.5</v>
      </c>
      <c r="M131">
        <v>126</v>
      </c>
      <c r="N131" s="2">
        <v>46069</v>
      </c>
      <c r="O131" s="2">
        <v>46449</v>
      </c>
      <c r="P131" s="2">
        <v>46070</v>
      </c>
      <c r="Q131" t="s">
        <v>96</v>
      </c>
      <c r="R131">
        <v>12</v>
      </c>
      <c r="U131" t="s">
        <v>202</v>
      </c>
      <c r="V131" t="s">
        <v>329</v>
      </c>
      <c r="W131">
        <v>15.5</v>
      </c>
    </row>
    <row r="132" spans="1:23" x14ac:dyDescent="0.3">
      <c r="A132" t="s">
        <v>141</v>
      </c>
      <c r="B132" t="s">
        <v>112</v>
      </c>
      <c r="C132" t="s">
        <v>45</v>
      </c>
      <c r="D132">
        <v>8</v>
      </c>
      <c r="E132">
        <v>7</v>
      </c>
      <c r="F132">
        <v>5302</v>
      </c>
      <c r="G132">
        <f>1+10+7+7+4+2+3</f>
        <v>34</v>
      </c>
      <c r="H132">
        <v>5850</v>
      </c>
      <c r="I132">
        <v>1</v>
      </c>
      <c r="J132">
        <v>9</v>
      </c>
      <c r="K132">
        <v>18.5</v>
      </c>
      <c r="L132">
        <v>5576</v>
      </c>
      <c r="M132">
        <v>5850</v>
      </c>
      <c r="N132" s="2">
        <v>46069</v>
      </c>
      <c r="O132" s="2">
        <v>46160</v>
      </c>
      <c r="P132" s="2">
        <v>46070</v>
      </c>
      <c r="Q132" t="s">
        <v>27</v>
      </c>
      <c r="R132">
        <v>3</v>
      </c>
      <c r="T132" t="s">
        <v>40</v>
      </c>
      <c r="U132" t="s">
        <v>125</v>
      </c>
      <c r="V132" t="s">
        <v>329</v>
      </c>
      <c r="W132">
        <v>15.5</v>
      </c>
    </row>
    <row r="133" spans="1:23" x14ac:dyDescent="0.3">
      <c r="A133" t="s">
        <v>126</v>
      </c>
      <c r="B133" t="s">
        <v>127</v>
      </c>
      <c r="C133" t="s">
        <v>45</v>
      </c>
      <c r="D133">
        <v>7</v>
      </c>
      <c r="E133">
        <v>4</v>
      </c>
      <c r="F133">
        <v>999</v>
      </c>
      <c r="G133">
        <f>112+45+32+1</f>
        <v>190</v>
      </c>
      <c r="H133">
        <v>1080</v>
      </c>
      <c r="I133">
        <v>3</v>
      </c>
      <c r="J133">
        <f>1+1+300</f>
        <v>302</v>
      </c>
      <c r="K133">
        <v>19.5</v>
      </c>
      <c r="L133">
        <v>1039.5</v>
      </c>
      <c r="M133">
        <v>1000</v>
      </c>
      <c r="N133" s="2">
        <v>46069</v>
      </c>
      <c r="O133" s="2">
        <v>46434</v>
      </c>
      <c r="P133" s="2">
        <v>46070</v>
      </c>
      <c r="Q133" t="s">
        <v>27</v>
      </c>
      <c r="R133">
        <v>12</v>
      </c>
      <c r="S133">
        <v>9.6199999999999992</v>
      </c>
      <c r="T133" t="s">
        <v>39</v>
      </c>
      <c r="V133" t="s">
        <v>329</v>
      </c>
      <c r="W133">
        <v>15.5</v>
      </c>
    </row>
    <row r="134" spans="1:23" x14ac:dyDescent="0.3">
      <c r="A134" t="s">
        <v>269</v>
      </c>
      <c r="B134" t="s">
        <v>272</v>
      </c>
      <c r="C134" t="s">
        <v>45</v>
      </c>
      <c r="D134">
        <v>38</v>
      </c>
      <c r="E134">
        <v>18</v>
      </c>
      <c r="F134">
        <v>1026.02</v>
      </c>
      <c r="G134">
        <f>2+2+9+1+1+3+5+20+1+1+2+50+1+6+25+5+25+1</f>
        <v>160</v>
      </c>
      <c r="H134">
        <v>1031.97</v>
      </c>
      <c r="I134">
        <v>20</v>
      </c>
      <c r="J134">
        <f>1+2+1+1+10+8+20+5+1+8+7+128+20+5+7+6+5+6+20+15</f>
        <v>276</v>
      </c>
      <c r="K134">
        <v>19.5</v>
      </c>
      <c r="L134">
        <v>1031.97</v>
      </c>
      <c r="M134">
        <v>1000</v>
      </c>
      <c r="N134" s="2">
        <v>46072</v>
      </c>
      <c r="O134" s="2">
        <v>46437</v>
      </c>
      <c r="Q134" t="s">
        <v>27</v>
      </c>
      <c r="R134">
        <v>12</v>
      </c>
      <c r="S134">
        <v>4.8</v>
      </c>
      <c r="T134" t="s">
        <v>39</v>
      </c>
      <c r="V134" t="s">
        <v>327</v>
      </c>
      <c r="W134">
        <v>15.5</v>
      </c>
    </row>
    <row r="135" spans="1:23" x14ac:dyDescent="0.3">
      <c r="A135" t="s">
        <v>122</v>
      </c>
      <c r="B135" t="s">
        <v>123</v>
      </c>
      <c r="C135" t="s">
        <v>45</v>
      </c>
      <c r="D135">
        <v>12</v>
      </c>
      <c r="E135">
        <v>7</v>
      </c>
      <c r="F135">
        <v>1001</v>
      </c>
      <c r="G135">
        <f>50+143+7+14+32+70+1</f>
        <v>317</v>
      </c>
      <c r="H135">
        <v>1013</v>
      </c>
      <c r="I135">
        <f>D135-E135</f>
        <v>5</v>
      </c>
      <c r="J135">
        <f>58+43+50+3+1</f>
        <v>155</v>
      </c>
      <c r="K135">
        <v>21</v>
      </c>
      <c r="L135">
        <v>1007</v>
      </c>
      <c r="M135">
        <v>1000</v>
      </c>
      <c r="N135" s="2">
        <v>46073</v>
      </c>
      <c r="O135" s="2">
        <v>46162</v>
      </c>
      <c r="P135" s="2">
        <v>46077</v>
      </c>
      <c r="Q135" t="s">
        <v>27</v>
      </c>
      <c r="R135">
        <v>3</v>
      </c>
      <c r="S135">
        <v>8.0500000000000007</v>
      </c>
      <c r="T135" t="s">
        <v>39</v>
      </c>
      <c r="V135" t="s">
        <v>329</v>
      </c>
      <c r="W135">
        <v>15.5</v>
      </c>
    </row>
    <row r="136" spans="1:23" x14ac:dyDescent="0.3">
      <c r="A136" t="s">
        <v>121</v>
      </c>
      <c r="B136" t="s">
        <v>30</v>
      </c>
      <c r="C136" t="s">
        <v>94</v>
      </c>
      <c r="D136">
        <v>6</v>
      </c>
      <c r="E136">
        <v>6</v>
      </c>
      <c r="F136">
        <v>127</v>
      </c>
      <c r="G136">
        <f>10+1+26+18+104+5</f>
        <v>164</v>
      </c>
      <c r="H136">
        <v>0</v>
      </c>
      <c r="I136">
        <v>0</v>
      </c>
      <c r="J136">
        <v>0</v>
      </c>
      <c r="L136">
        <v>129.5</v>
      </c>
      <c r="M136">
        <v>127</v>
      </c>
      <c r="N136" s="2">
        <v>46077</v>
      </c>
      <c r="O136" s="2">
        <v>46457</v>
      </c>
      <c r="P136" s="2">
        <v>46078</v>
      </c>
      <c r="Q136" t="s">
        <v>96</v>
      </c>
      <c r="R136">
        <v>12</v>
      </c>
      <c r="U136" t="s">
        <v>202</v>
      </c>
      <c r="V136" t="s">
        <v>329</v>
      </c>
      <c r="W136">
        <v>15.5</v>
      </c>
    </row>
    <row r="137" spans="1:23" x14ac:dyDescent="0.3">
      <c r="A137" t="s">
        <v>118</v>
      </c>
      <c r="B137" t="s">
        <v>119</v>
      </c>
      <c r="C137" t="s">
        <v>45</v>
      </c>
      <c r="D137">
        <v>16</v>
      </c>
      <c r="E137">
        <v>9</v>
      </c>
      <c r="F137">
        <v>999</v>
      </c>
      <c r="G137">
        <f>84+100+10+251+20+1+2+1000+32</f>
        <v>1500</v>
      </c>
      <c r="H137">
        <v>1003</v>
      </c>
      <c r="I137">
        <v>7</v>
      </c>
      <c r="J137">
        <f>882+704+2+4+2+3+1</f>
        <v>1598</v>
      </c>
      <c r="K137">
        <v>15.25</v>
      </c>
      <c r="L137">
        <v>1001</v>
      </c>
      <c r="M137">
        <v>1000</v>
      </c>
      <c r="N137" s="2">
        <v>46079</v>
      </c>
      <c r="O137" s="2">
        <v>46171</v>
      </c>
      <c r="P137" s="2">
        <v>46080</v>
      </c>
      <c r="Q137" t="s">
        <v>27</v>
      </c>
      <c r="R137">
        <v>3</v>
      </c>
      <c r="S137">
        <v>2.92</v>
      </c>
      <c r="T137" t="s">
        <v>39</v>
      </c>
      <c r="U137" t="s">
        <v>120</v>
      </c>
      <c r="V137" t="s">
        <v>329</v>
      </c>
      <c r="W137">
        <v>15.5</v>
      </c>
    </row>
    <row r="138" spans="1:23" x14ac:dyDescent="0.3">
      <c r="A138" t="s">
        <v>116</v>
      </c>
      <c r="B138" t="s">
        <v>30</v>
      </c>
      <c r="C138" t="s">
        <v>94</v>
      </c>
      <c r="D138">
        <v>2</v>
      </c>
      <c r="E138">
        <v>2</v>
      </c>
      <c r="F138">
        <v>109</v>
      </c>
      <c r="G138">
        <f>107+22</f>
        <v>129</v>
      </c>
      <c r="H138">
        <v>0</v>
      </c>
      <c r="I138">
        <v>0</v>
      </c>
      <c r="J138">
        <v>0</v>
      </c>
      <c r="L138">
        <v>120.5</v>
      </c>
      <c r="M138">
        <v>132</v>
      </c>
      <c r="N138" s="2">
        <v>46080</v>
      </c>
      <c r="O138" s="2">
        <v>46462</v>
      </c>
      <c r="P138" s="2">
        <v>46083</v>
      </c>
      <c r="Q138" t="s">
        <v>27</v>
      </c>
      <c r="R138">
        <v>12</v>
      </c>
      <c r="U138" t="s">
        <v>202</v>
      </c>
      <c r="V138" t="s">
        <v>329</v>
      </c>
      <c r="W138">
        <v>15.5</v>
      </c>
    </row>
    <row r="139" spans="1:23" x14ac:dyDescent="0.3">
      <c r="A139" t="s">
        <v>115</v>
      </c>
      <c r="B139" t="s">
        <v>30</v>
      </c>
      <c r="C139" t="s">
        <v>45</v>
      </c>
      <c r="D139">
        <v>4</v>
      </c>
      <c r="E139">
        <v>4</v>
      </c>
      <c r="F139">
        <v>1004</v>
      </c>
      <c r="G139">
        <f>9+116+100+3</f>
        <v>228</v>
      </c>
      <c r="H139">
        <v>0</v>
      </c>
      <c r="I139">
        <v>0</v>
      </c>
      <c r="J139">
        <v>0</v>
      </c>
      <c r="K139">
        <v>20</v>
      </c>
      <c r="L139">
        <v>1004</v>
      </c>
      <c r="M139">
        <v>1000</v>
      </c>
      <c r="N139" s="2">
        <v>46081</v>
      </c>
      <c r="O139" s="2">
        <v>46169</v>
      </c>
      <c r="P139" s="2">
        <v>46083</v>
      </c>
      <c r="Q139" t="s">
        <v>27</v>
      </c>
      <c r="R139">
        <v>3</v>
      </c>
      <c r="S139">
        <v>36.159999999999997</v>
      </c>
      <c r="T139" t="s">
        <v>40</v>
      </c>
      <c r="U139" t="s">
        <v>202</v>
      </c>
      <c r="V139" t="s">
        <v>329</v>
      </c>
      <c r="W139">
        <v>15.5</v>
      </c>
    </row>
    <row r="140" spans="1:23" x14ac:dyDescent="0.3">
      <c r="A140" t="s">
        <v>117</v>
      </c>
      <c r="B140" t="s">
        <v>30</v>
      </c>
      <c r="C140" t="s">
        <v>45</v>
      </c>
      <c r="D140">
        <v>2</v>
      </c>
      <c r="E140">
        <v>2</v>
      </c>
      <c r="F140">
        <v>1002</v>
      </c>
      <c r="G140">
        <f>10+11</f>
        <v>21</v>
      </c>
      <c r="H140">
        <v>0</v>
      </c>
      <c r="I140">
        <v>0</v>
      </c>
      <c r="J140">
        <v>0</v>
      </c>
      <c r="K140">
        <v>15.3</v>
      </c>
      <c r="L140">
        <v>1002</v>
      </c>
      <c r="M140">
        <v>1000</v>
      </c>
      <c r="N140" s="2">
        <v>46081</v>
      </c>
      <c r="O140" s="2">
        <v>46169</v>
      </c>
      <c r="P140" s="2">
        <v>46083</v>
      </c>
      <c r="Q140" t="s">
        <v>27</v>
      </c>
      <c r="R140">
        <v>3</v>
      </c>
      <c r="S140">
        <v>27.67</v>
      </c>
      <c r="T140" t="s">
        <v>40</v>
      </c>
      <c r="U140" t="s">
        <v>202</v>
      </c>
      <c r="V140" t="s">
        <v>329</v>
      </c>
      <c r="W140">
        <v>15.5</v>
      </c>
    </row>
    <row r="141" spans="1:23" x14ac:dyDescent="0.3">
      <c r="A141" t="s">
        <v>294</v>
      </c>
      <c r="B141" t="s">
        <v>288</v>
      </c>
      <c r="C141" t="s">
        <v>45</v>
      </c>
      <c r="D141">
        <v>40</v>
      </c>
      <c r="E141">
        <v>20</v>
      </c>
      <c r="F141">
        <v>1015.8</v>
      </c>
      <c r="G141">
        <f>1+4+5+5+5+3+3+2+2+5+1+224+1+1+90+57+100+22+1+66</f>
        <v>598</v>
      </c>
      <c r="H141">
        <v>1024.96</v>
      </c>
      <c r="I141">
        <v>20</v>
      </c>
      <c r="J141">
        <f>142+31+9+19+3+3+1+150+15+3+30+101+5+118+20+50+10+53+2500+87</f>
        <v>3350</v>
      </c>
      <c r="K141">
        <v>18</v>
      </c>
      <c r="L141">
        <v>1024.96</v>
      </c>
      <c r="M141">
        <v>1000</v>
      </c>
      <c r="N141" s="2">
        <v>46084</v>
      </c>
      <c r="O141" s="2">
        <v>46451</v>
      </c>
      <c r="Q141" t="s">
        <v>27</v>
      </c>
      <c r="R141">
        <v>12</v>
      </c>
      <c r="S141">
        <v>13.31</v>
      </c>
      <c r="T141" t="s">
        <v>39</v>
      </c>
      <c r="U141" t="s">
        <v>295</v>
      </c>
      <c r="V141" t="s">
        <v>327</v>
      </c>
      <c r="W141">
        <v>15.5</v>
      </c>
    </row>
    <row r="142" spans="1:23" x14ac:dyDescent="0.3">
      <c r="A142" t="s">
        <v>114</v>
      </c>
      <c r="B142" t="s">
        <v>30</v>
      </c>
      <c r="C142" t="s">
        <v>94</v>
      </c>
      <c r="D142">
        <v>5</v>
      </c>
      <c r="E142">
        <v>4</v>
      </c>
      <c r="F142">
        <v>110</v>
      </c>
      <c r="G142">
        <f>30+109+1+300</f>
        <v>440</v>
      </c>
      <c r="H142">
        <v>130</v>
      </c>
      <c r="I142">
        <v>1</v>
      </c>
      <c r="J142">
        <v>2</v>
      </c>
      <c r="L142">
        <v>132</v>
      </c>
      <c r="M142">
        <v>134</v>
      </c>
      <c r="N142" s="2">
        <v>46085</v>
      </c>
      <c r="O142" s="2">
        <v>46465</v>
      </c>
      <c r="P142" s="2">
        <v>46086</v>
      </c>
      <c r="Q142" t="s">
        <v>96</v>
      </c>
      <c r="R142">
        <v>12</v>
      </c>
      <c r="U142" t="s">
        <v>202</v>
      </c>
      <c r="V142" t="s">
        <v>329</v>
      </c>
      <c r="W142">
        <v>15.5</v>
      </c>
    </row>
    <row r="143" spans="1:23" x14ac:dyDescent="0.3">
      <c r="A143" t="s">
        <v>111</v>
      </c>
      <c r="B143" t="s">
        <v>112</v>
      </c>
      <c r="C143" t="s">
        <v>45</v>
      </c>
      <c r="D143">
        <v>8</v>
      </c>
      <c r="E143">
        <v>3</v>
      </c>
      <c r="F143">
        <v>8000</v>
      </c>
      <c r="G143">
        <f>5+2+1</f>
        <v>8</v>
      </c>
      <c r="H143">
        <v>8950</v>
      </c>
      <c r="I143">
        <v>5</v>
      </c>
      <c r="J143">
        <f>1+101+20+6+12</f>
        <v>140</v>
      </c>
      <c r="K143">
        <v>18</v>
      </c>
      <c r="L143">
        <v>8460</v>
      </c>
      <c r="M143">
        <v>8950</v>
      </c>
      <c r="N143" s="2">
        <v>46086</v>
      </c>
      <c r="O143" s="2">
        <v>46176</v>
      </c>
      <c r="P143" s="2">
        <v>46087</v>
      </c>
      <c r="Q143" t="s">
        <v>27</v>
      </c>
      <c r="R143">
        <v>3</v>
      </c>
      <c r="T143" t="s">
        <v>40</v>
      </c>
      <c r="U143" t="s">
        <v>125</v>
      </c>
      <c r="V143" t="s">
        <v>329</v>
      </c>
      <c r="W143">
        <v>15.5</v>
      </c>
    </row>
    <row r="144" spans="1:23" x14ac:dyDescent="0.3">
      <c r="A144" t="s">
        <v>108</v>
      </c>
      <c r="B144" t="s">
        <v>30</v>
      </c>
      <c r="C144" t="s">
        <v>94</v>
      </c>
      <c r="D144">
        <v>6</v>
      </c>
      <c r="E144">
        <v>6</v>
      </c>
      <c r="F144">
        <v>121</v>
      </c>
      <c r="G144">
        <f>4+27+25+100+1+2</f>
        <v>159</v>
      </c>
      <c r="H144">
        <v>0</v>
      </c>
      <c r="I144">
        <v>0</v>
      </c>
      <c r="J144">
        <v>0</v>
      </c>
      <c r="L144">
        <v>126.5</v>
      </c>
      <c r="M144">
        <v>132</v>
      </c>
      <c r="N144" s="2">
        <v>46087</v>
      </c>
      <c r="O144" s="2">
        <v>46469</v>
      </c>
      <c r="P144" s="2">
        <v>46091</v>
      </c>
      <c r="Q144" t="s">
        <v>96</v>
      </c>
      <c r="R144">
        <v>12</v>
      </c>
      <c r="V144" t="s">
        <v>329</v>
      </c>
      <c r="W144">
        <v>15.5</v>
      </c>
    </row>
    <row r="145" spans="1:23" x14ac:dyDescent="0.3">
      <c r="A145" t="s">
        <v>109</v>
      </c>
      <c r="B145" t="s">
        <v>30</v>
      </c>
      <c r="C145" t="s">
        <v>45</v>
      </c>
      <c r="D145">
        <v>3</v>
      </c>
      <c r="E145">
        <v>3</v>
      </c>
      <c r="F145">
        <v>1002</v>
      </c>
      <c r="G145">
        <f>2+51+686</f>
        <v>739</v>
      </c>
      <c r="H145">
        <v>0</v>
      </c>
      <c r="I145">
        <v>0</v>
      </c>
      <c r="J145">
        <v>0</v>
      </c>
      <c r="K145">
        <v>20</v>
      </c>
      <c r="L145">
        <v>1002</v>
      </c>
      <c r="M145">
        <v>1000</v>
      </c>
      <c r="N145" s="2">
        <v>46087</v>
      </c>
      <c r="O145" s="2">
        <v>46178</v>
      </c>
      <c r="P145" s="2">
        <v>46087</v>
      </c>
      <c r="Q145" t="s">
        <v>27</v>
      </c>
      <c r="R145">
        <v>3</v>
      </c>
      <c r="S145">
        <v>32.880000000000003</v>
      </c>
      <c r="T145" t="s">
        <v>40</v>
      </c>
      <c r="U145" t="s">
        <v>202</v>
      </c>
      <c r="V145" t="s">
        <v>329</v>
      </c>
      <c r="W145">
        <v>15.5</v>
      </c>
    </row>
    <row r="146" spans="1:23" x14ac:dyDescent="0.3">
      <c r="A146" t="s">
        <v>110</v>
      </c>
      <c r="B146" t="s">
        <v>30</v>
      </c>
      <c r="C146" t="s">
        <v>45</v>
      </c>
      <c r="D146">
        <v>4</v>
      </c>
      <c r="E146">
        <v>4</v>
      </c>
      <c r="F146">
        <v>1003</v>
      </c>
      <c r="G146">
        <f>1+1+50+502</f>
        <v>554</v>
      </c>
      <c r="H146">
        <v>0</v>
      </c>
      <c r="I146">
        <v>0</v>
      </c>
      <c r="J146">
        <v>0</v>
      </c>
      <c r="K146">
        <v>19</v>
      </c>
      <c r="L146">
        <v>1003</v>
      </c>
      <c r="M146">
        <v>1000</v>
      </c>
      <c r="N146" s="2">
        <v>46087</v>
      </c>
      <c r="O146" s="2">
        <v>46272</v>
      </c>
      <c r="P146" s="2">
        <v>46087</v>
      </c>
      <c r="Q146" t="s">
        <v>27</v>
      </c>
      <c r="R146">
        <v>6</v>
      </c>
      <c r="S146">
        <v>31.23</v>
      </c>
      <c r="T146" t="s">
        <v>40</v>
      </c>
      <c r="U146" t="s">
        <v>202</v>
      </c>
      <c r="V146" t="s">
        <v>329</v>
      </c>
      <c r="W146">
        <v>15.5</v>
      </c>
    </row>
    <row r="147" spans="1:23" x14ac:dyDescent="0.3">
      <c r="A147" t="s">
        <v>16</v>
      </c>
      <c r="B147" t="s">
        <v>17</v>
      </c>
      <c r="C147" t="s">
        <v>45</v>
      </c>
      <c r="D147">
        <f>E147+I147</f>
        <v>5</v>
      </c>
      <c r="E147">
        <v>4</v>
      </c>
      <c r="F147">
        <v>1039</v>
      </c>
      <c r="G147">
        <f>42+17</f>
        <v>59</v>
      </c>
      <c r="H147">
        <v>900</v>
      </c>
      <c r="I147">
        <v>1</v>
      </c>
      <c r="J147">
        <v>6</v>
      </c>
      <c r="K147">
        <v>23</v>
      </c>
      <c r="M147">
        <v>1000</v>
      </c>
      <c r="N147" s="2">
        <v>46087</v>
      </c>
      <c r="O147" s="2">
        <v>46269</v>
      </c>
      <c r="P147" s="2">
        <v>46269</v>
      </c>
      <c r="Q147" t="s">
        <v>27</v>
      </c>
      <c r="R147">
        <v>6</v>
      </c>
      <c r="S147" t="s">
        <v>59</v>
      </c>
      <c r="T147" t="s">
        <v>39</v>
      </c>
      <c r="V147" t="s">
        <v>328</v>
      </c>
      <c r="W147">
        <v>15.5</v>
      </c>
    </row>
    <row r="148" spans="1:23" x14ac:dyDescent="0.3">
      <c r="A148" t="s">
        <v>105</v>
      </c>
      <c r="B148" t="s">
        <v>30</v>
      </c>
      <c r="C148" t="s">
        <v>94</v>
      </c>
      <c r="D148">
        <v>4</v>
      </c>
      <c r="E148">
        <v>4</v>
      </c>
      <c r="F148">
        <v>130</v>
      </c>
      <c r="G148">
        <f>100+18+101+150</f>
        <v>369</v>
      </c>
      <c r="H148">
        <v>0</v>
      </c>
      <c r="I148">
        <v>0</v>
      </c>
      <c r="J148">
        <v>0</v>
      </c>
      <c r="L148">
        <v>132</v>
      </c>
      <c r="M148">
        <v>132</v>
      </c>
      <c r="N148" s="2">
        <v>46091</v>
      </c>
      <c r="O148" s="2">
        <v>46470</v>
      </c>
      <c r="P148" s="2">
        <v>46092</v>
      </c>
      <c r="Q148" t="s">
        <v>96</v>
      </c>
      <c r="R148">
        <v>12</v>
      </c>
      <c r="V148" t="s">
        <v>329</v>
      </c>
      <c r="W148">
        <v>15.5</v>
      </c>
    </row>
    <row r="149" spans="1:23" x14ac:dyDescent="0.3">
      <c r="A149" t="s">
        <v>106</v>
      </c>
      <c r="B149" t="s">
        <v>107</v>
      </c>
      <c r="C149" t="s">
        <v>45</v>
      </c>
      <c r="D149">
        <v>11</v>
      </c>
      <c r="E149">
        <v>9</v>
      </c>
      <c r="F149">
        <v>1002</v>
      </c>
      <c r="G149">
        <f>101+20+28+100+3+6+500+500+1</f>
        <v>1259</v>
      </c>
      <c r="H149">
        <v>1020</v>
      </c>
      <c r="I149">
        <v>2</v>
      </c>
      <c r="J149">
        <v>4</v>
      </c>
      <c r="K149">
        <v>17.5</v>
      </c>
      <c r="L149">
        <v>1011</v>
      </c>
      <c r="M149">
        <v>1000</v>
      </c>
      <c r="N149" s="2">
        <v>46091</v>
      </c>
      <c r="O149" s="2">
        <v>46183</v>
      </c>
      <c r="P149" s="2">
        <v>46092</v>
      </c>
      <c r="Q149" t="s">
        <v>27</v>
      </c>
      <c r="R149">
        <v>3</v>
      </c>
      <c r="S149">
        <v>11.51</v>
      </c>
      <c r="T149" t="s">
        <v>39</v>
      </c>
      <c r="V149" t="s">
        <v>329</v>
      </c>
      <c r="W149">
        <v>15.5</v>
      </c>
    </row>
    <row r="150" spans="1:23" x14ac:dyDescent="0.3">
      <c r="A150" t="s">
        <v>104</v>
      </c>
      <c r="B150" t="s">
        <v>30</v>
      </c>
      <c r="C150" t="s">
        <v>94</v>
      </c>
      <c r="D150">
        <v>7</v>
      </c>
      <c r="E150">
        <v>5</v>
      </c>
      <c r="F150">
        <v>120</v>
      </c>
      <c r="G150">
        <f>1+19+20+100+150</f>
        <v>290</v>
      </c>
      <c r="H150">
        <v>127</v>
      </c>
      <c r="I150">
        <v>2</v>
      </c>
      <c r="J150">
        <f>39+61</f>
        <v>100</v>
      </c>
      <c r="L150">
        <v>123.5</v>
      </c>
      <c r="M150">
        <v>134</v>
      </c>
      <c r="N150" s="2">
        <v>46092</v>
      </c>
      <c r="O150" s="2">
        <v>46471</v>
      </c>
      <c r="P150" s="2">
        <v>46093</v>
      </c>
      <c r="Q150" t="s">
        <v>96</v>
      </c>
      <c r="R150">
        <v>12</v>
      </c>
      <c r="V150" t="s">
        <v>329</v>
      </c>
      <c r="W150">
        <v>15.5</v>
      </c>
    </row>
    <row r="151" spans="1:23" x14ac:dyDescent="0.3">
      <c r="A151" t="s">
        <v>103</v>
      </c>
      <c r="B151" t="s">
        <v>30</v>
      </c>
      <c r="C151" t="s">
        <v>45</v>
      </c>
      <c r="D151">
        <v>4</v>
      </c>
      <c r="E151">
        <v>4</v>
      </c>
      <c r="F151">
        <v>1012</v>
      </c>
      <c r="G151">
        <f>2+57+100+95</f>
        <v>254</v>
      </c>
      <c r="H151">
        <v>0</v>
      </c>
      <c r="I151">
        <v>0</v>
      </c>
      <c r="J151">
        <v>0</v>
      </c>
      <c r="K151">
        <v>19</v>
      </c>
      <c r="L151">
        <v>1012</v>
      </c>
      <c r="M151">
        <v>1000</v>
      </c>
      <c r="N151" s="2">
        <v>46093</v>
      </c>
      <c r="O151" s="2">
        <v>46279</v>
      </c>
      <c r="P151" s="2">
        <v>46093</v>
      </c>
      <c r="Q151" t="s">
        <v>27</v>
      </c>
      <c r="R151">
        <v>6</v>
      </c>
      <c r="S151">
        <v>28.11</v>
      </c>
      <c r="T151" t="s">
        <v>40</v>
      </c>
      <c r="U151" t="s">
        <v>202</v>
      </c>
      <c r="V151" t="s">
        <v>329</v>
      </c>
      <c r="W151">
        <v>15.5</v>
      </c>
    </row>
    <row r="152" spans="1:23" x14ac:dyDescent="0.3">
      <c r="A152" t="s">
        <v>97</v>
      </c>
      <c r="B152" t="s">
        <v>30</v>
      </c>
      <c r="C152" t="s">
        <v>94</v>
      </c>
      <c r="D152">
        <v>0</v>
      </c>
      <c r="E152">
        <v>9</v>
      </c>
      <c r="F152">
        <v>131</v>
      </c>
      <c r="G152">
        <f>151+6+111+20+14+1+10+1+2</f>
        <v>316</v>
      </c>
      <c r="H152">
        <v>0</v>
      </c>
      <c r="I152">
        <v>0</v>
      </c>
      <c r="J152">
        <v>0</v>
      </c>
      <c r="L152">
        <v>132</v>
      </c>
      <c r="M152">
        <v>134</v>
      </c>
      <c r="N152" s="2">
        <v>46094</v>
      </c>
      <c r="O152" s="2">
        <v>46475</v>
      </c>
      <c r="P152" s="2">
        <v>46097</v>
      </c>
      <c r="Q152" t="s">
        <v>96</v>
      </c>
      <c r="R152">
        <v>12</v>
      </c>
      <c r="U152" t="s">
        <v>202</v>
      </c>
      <c r="V152" t="s">
        <v>329</v>
      </c>
      <c r="W152">
        <v>15.5</v>
      </c>
    </row>
    <row r="153" spans="1:23" x14ac:dyDescent="0.3">
      <c r="A153" t="s">
        <v>98</v>
      </c>
      <c r="B153" t="s">
        <v>99</v>
      </c>
      <c r="C153" t="s">
        <v>45</v>
      </c>
      <c r="D153">
        <v>22</v>
      </c>
      <c r="E153">
        <v>8</v>
      </c>
      <c r="F153">
        <v>1000</v>
      </c>
      <c r="G153">
        <f>7+40+7+5+30+12+100+207</f>
        <v>408</v>
      </c>
      <c r="H153">
        <v>1020</v>
      </c>
      <c r="I153">
        <v>14</v>
      </c>
      <c r="J153">
        <f>20+1+3+5+7+10+50+16+50+1+1+140+149+1</f>
        <v>454</v>
      </c>
      <c r="K153">
        <v>19.5</v>
      </c>
      <c r="L153">
        <v>1010</v>
      </c>
      <c r="M153">
        <v>1000</v>
      </c>
      <c r="N153" s="2">
        <v>46094</v>
      </c>
      <c r="O153" s="2">
        <v>46216</v>
      </c>
      <c r="P153" s="2">
        <v>46097</v>
      </c>
      <c r="Q153" t="s">
        <v>27</v>
      </c>
      <c r="R153">
        <v>4</v>
      </c>
      <c r="S153">
        <v>11.22</v>
      </c>
      <c r="T153" t="s">
        <v>39</v>
      </c>
      <c r="V153" t="s">
        <v>329</v>
      </c>
      <c r="W153">
        <v>15.5</v>
      </c>
    </row>
    <row r="154" spans="1:23" x14ac:dyDescent="0.3">
      <c r="A154" t="s">
        <v>102</v>
      </c>
      <c r="B154" t="s">
        <v>30</v>
      </c>
      <c r="C154" t="s">
        <v>45</v>
      </c>
      <c r="D154">
        <v>3</v>
      </c>
      <c r="E154">
        <v>3</v>
      </c>
      <c r="F154">
        <v>1047</v>
      </c>
      <c r="G154">
        <f>3+287+629</f>
        <v>919</v>
      </c>
      <c r="H154">
        <v>0</v>
      </c>
      <c r="I154">
        <v>0</v>
      </c>
      <c r="J154">
        <v>0</v>
      </c>
      <c r="K154">
        <v>20</v>
      </c>
      <c r="L154">
        <v>1047</v>
      </c>
      <c r="M154">
        <v>1000</v>
      </c>
      <c r="N154" s="2">
        <v>46094</v>
      </c>
      <c r="O154" s="2">
        <v>46188</v>
      </c>
      <c r="P154" s="2">
        <v>46094</v>
      </c>
      <c r="Q154" t="s">
        <v>27</v>
      </c>
      <c r="R154">
        <v>3</v>
      </c>
      <c r="S154">
        <v>29.04</v>
      </c>
      <c r="T154" t="s">
        <v>40</v>
      </c>
      <c r="U154" t="s">
        <v>202</v>
      </c>
      <c r="V154" t="s">
        <v>329</v>
      </c>
      <c r="W154">
        <v>15.5</v>
      </c>
    </row>
    <row r="155" spans="1:23" x14ac:dyDescent="0.3">
      <c r="A155" t="s">
        <v>93</v>
      </c>
      <c r="B155" t="s">
        <v>30</v>
      </c>
      <c r="C155" t="s">
        <v>94</v>
      </c>
      <c r="D155">
        <v>7</v>
      </c>
      <c r="E155">
        <v>7</v>
      </c>
      <c r="F155">
        <v>127</v>
      </c>
      <c r="G155">
        <f>152+1+1+210+22+11+2</f>
        <v>399</v>
      </c>
      <c r="H155">
        <v>0</v>
      </c>
      <c r="I155">
        <v>0</v>
      </c>
      <c r="J155">
        <v>0</v>
      </c>
      <c r="L155">
        <v>123.5</v>
      </c>
      <c r="M155">
        <v>133</v>
      </c>
      <c r="N155" s="2">
        <v>46097</v>
      </c>
      <c r="O155" s="2">
        <v>46476</v>
      </c>
      <c r="P155" s="2">
        <v>46098</v>
      </c>
      <c r="Q155" t="s">
        <v>96</v>
      </c>
      <c r="R155">
        <v>12</v>
      </c>
      <c r="U155" t="s">
        <v>202</v>
      </c>
      <c r="V155" t="s">
        <v>329</v>
      </c>
      <c r="W155">
        <v>15.5</v>
      </c>
    </row>
    <row r="156" spans="1:23" x14ac:dyDescent="0.3">
      <c r="A156" t="s">
        <v>85</v>
      </c>
      <c r="B156" t="s">
        <v>86</v>
      </c>
      <c r="C156" t="s">
        <v>45</v>
      </c>
      <c r="D156">
        <v>8</v>
      </c>
      <c r="E156">
        <v>7</v>
      </c>
      <c r="F156">
        <v>1001</v>
      </c>
      <c r="G156">
        <f>200+1000+32+50+180+101+3</f>
        <v>1566</v>
      </c>
      <c r="H156">
        <v>1017</v>
      </c>
      <c r="I156">
        <v>1</v>
      </c>
      <c r="J156">
        <v>139</v>
      </c>
      <c r="K156">
        <v>16.25</v>
      </c>
      <c r="L156">
        <v>1009</v>
      </c>
      <c r="M156">
        <v>1000</v>
      </c>
      <c r="N156" s="2">
        <v>46098</v>
      </c>
      <c r="O156" s="2">
        <v>46190</v>
      </c>
      <c r="P156" s="2">
        <v>46099</v>
      </c>
      <c r="Q156" t="s">
        <v>27</v>
      </c>
      <c r="R156">
        <v>3</v>
      </c>
      <c r="S156">
        <v>7.57</v>
      </c>
      <c r="T156" t="s">
        <v>39</v>
      </c>
      <c r="U156" t="s">
        <v>87</v>
      </c>
      <c r="V156" t="s">
        <v>329</v>
      </c>
      <c r="W156">
        <v>15.5</v>
      </c>
    </row>
    <row r="157" spans="1:23" x14ac:dyDescent="0.3">
      <c r="A157" t="s">
        <v>88</v>
      </c>
      <c r="B157" t="s">
        <v>89</v>
      </c>
      <c r="C157" t="s">
        <v>45</v>
      </c>
      <c r="D157">
        <v>14</v>
      </c>
      <c r="E157">
        <v>12</v>
      </c>
      <c r="F157">
        <v>1020</v>
      </c>
      <c r="G157">
        <f>6+100+38+79+1+20+5+500+100+30+500+200</f>
        <v>1579</v>
      </c>
      <c r="H157">
        <v>1100</v>
      </c>
      <c r="I157">
        <v>2</v>
      </c>
      <c r="J157">
        <v>8</v>
      </c>
      <c r="K157">
        <v>18.5</v>
      </c>
      <c r="L157">
        <v>1010</v>
      </c>
      <c r="M157">
        <v>1000</v>
      </c>
      <c r="N157" s="2">
        <v>46098</v>
      </c>
      <c r="O157" s="2">
        <v>46463</v>
      </c>
      <c r="P157" s="2">
        <v>46099</v>
      </c>
      <c r="Q157" t="s">
        <v>27</v>
      </c>
      <c r="R157">
        <v>12</v>
      </c>
      <c r="S157">
        <v>8.6199999999999992</v>
      </c>
      <c r="T157" t="s">
        <v>39</v>
      </c>
      <c r="U157" t="s">
        <v>90</v>
      </c>
      <c r="V157" t="s">
        <v>329</v>
      </c>
      <c r="W157">
        <v>15.5</v>
      </c>
    </row>
    <row r="158" spans="1:23" x14ac:dyDescent="0.3">
      <c r="A158" t="s">
        <v>91</v>
      </c>
      <c r="B158" t="s">
        <v>92</v>
      </c>
      <c r="C158" t="s">
        <v>45</v>
      </c>
      <c r="D158">
        <v>18</v>
      </c>
      <c r="E158">
        <v>10</v>
      </c>
      <c r="F158">
        <v>1030</v>
      </c>
      <c r="G158">
        <f>4+295+976+1000+1052+15+100+30+50+200</f>
        <v>3722</v>
      </c>
      <c r="H158">
        <v>1050</v>
      </c>
      <c r="I158">
        <v>8</v>
      </c>
      <c r="J158">
        <f>10+40+2+5+5+5+43+61</f>
        <v>171</v>
      </c>
      <c r="K158">
        <v>17.25</v>
      </c>
      <c r="L158">
        <v>1032</v>
      </c>
      <c r="M158">
        <v>1000</v>
      </c>
      <c r="N158" s="2">
        <v>46098</v>
      </c>
      <c r="O158" s="2">
        <v>46677</v>
      </c>
      <c r="P158" s="2">
        <v>46099</v>
      </c>
      <c r="Q158" t="s">
        <v>27</v>
      </c>
      <c r="R158">
        <v>18</v>
      </c>
      <c r="S158">
        <v>8.0299999999999994</v>
      </c>
      <c r="T158" t="s">
        <v>39</v>
      </c>
      <c r="V158" t="s">
        <v>329</v>
      </c>
      <c r="W158">
        <v>15.5</v>
      </c>
    </row>
    <row r="159" spans="1:23" x14ac:dyDescent="0.3">
      <c r="A159" t="s">
        <v>82</v>
      </c>
      <c r="B159" t="s">
        <v>30</v>
      </c>
      <c r="C159" t="s">
        <v>45</v>
      </c>
      <c r="D159">
        <v>4</v>
      </c>
      <c r="E159">
        <v>4</v>
      </c>
      <c r="F159">
        <v>1024</v>
      </c>
      <c r="G159">
        <f>101+288+110+2</f>
        <v>501</v>
      </c>
      <c r="H159">
        <v>0</v>
      </c>
      <c r="I159">
        <v>0</v>
      </c>
      <c r="J159">
        <v>0</v>
      </c>
      <c r="K159">
        <v>20</v>
      </c>
      <c r="L159">
        <v>1023</v>
      </c>
      <c r="M159">
        <v>1000</v>
      </c>
      <c r="N159" s="2">
        <v>46098</v>
      </c>
      <c r="O159" s="2">
        <v>46189</v>
      </c>
      <c r="P159" s="2">
        <v>46098</v>
      </c>
      <c r="Q159" t="s">
        <v>27</v>
      </c>
      <c r="R159">
        <v>3</v>
      </c>
      <c r="S159">
        <v>26.85</v>
      </c>
      <c r="T159" t="s">
        <v>40</v>
      </c>
      <c r="U159" t="s">
        <v>202</v>
      </c>
      <c r="V159" t="s">
        <v>329</v>
      </c>
      <c r="W159">
        <v>15.5</v>
      </c>
    </row>
    <row r="160" spans="1:23" x14ac:dyDescent="0.3">
      <c r="A160" t="s">
        <v>275</v>
      </c>
      <c r="B160" t="s">
        <v>276</v>
      </c>
      <c r="C160" t="s">
        <v>45</v>
      </c>
      <c r="D160">
        <v>40</v>
      </c>
      <c r="E160">
        <v>20</v>
      </c>
      <c r="F160">
        <v>1007</v>
      </c>
      <c r="G160">
        <f>87+1+1+2+2+49+211+61+20+1+8+3+1+7+5+25+20+3+20+1</f>
        <v>528</v>
      </c>
      <c r="H160">
        <v>1010</v>
      </c>
      <c r="I160">
        <v>20</v>
      </c>
      <c r="J160">
        <f>50+120+23+6+47+51+68+2+3+10+242+127+3+30+1+3+4+2+1+347</f>
        <v>1140</v>
      </c>
      <c r="K160">
        <v>18</v>
      </c>
      <c r="L160">
        <v>1010</v>
      </c>
      <c r="M160">
        <v>1000</v>
      </c>
      <c r="N160" s="2">
        <v>46098</v>
      </c>
      <c r="O160" s="2">
        <v>46465</v>
      </c>
      <c r="Q160" t="s">
        <v>27</v>
      </c>
      <c r="R160">
        <v>12</v>
      </c>
      <c r="S160">
        <v>5.42</v>
      </c>
      <c r="T160" t="s">
        <v>39</v>
      </c>
      <c r="U160" t="s">
        <v>277</v>
      </c>
      <c r="V160" t="s">
        <v>327</v>
      </c>
      <c r="W160">
        <v>15.5</v>
      </c>
    </row>
    <row r="161" spans="1:23" x14ac:dyDescent="0.3">
      <c r="A161" t="s">
        <v>29</v>
      </c>
      <c r="B161" t="s">
        <v>30</v>
      </c>
      <c r="C161" t="s">
        <v>45</v>
      </c>
      <c r="D161">
        <v>3</v>
      </c>
      <c r="E161">
        <v>3</v>
      </c>
      <c r="F161">
        <v>1000</v>
      </c>
      <c r="G161">
        <f>50+68+52</f>
        <v>170</v>
      </c>
      <c r="H161">
        <v>0</v>
      </c>
      <c r="I161">
        <v>0</v>
      </c>
      <c r="J161">
        <v>0</v>
      </c>
      <c r="K161">
        <v>14</v>
      </c>
      <c r="L161">
        <v>1001</v>
      </c>
      <c r="M161">
        <v>1000</v>
      </c>
      <c r="N161" s="2">
        <v>46100</v>
      </c>
      <c r="O161" s="2">
        <v>46464</v>
      </c>
      <c r="P161" s="2">
        <v>46100</v>
      </c>
      <c r="Q161" t="s">
        <v>27</v>
      </c>
      <c r="R161">
        <v>12</v>
      </c>
      <c r="S161">
        <v>18.03</v>
      </c>
      <c r="T161" t="s">
        <v>40</v>
      </c>
      <c r="U161" t="s">
        <v>202</v>
      </c>
      <c r="V161" t="s">
        <v>329</v>
      </c>
      <c r="W161">
        <v>15.5</v>
      </c>
    </row>
    <row r="162" spans="1:23" x14ac:dyDescent="0.3">
      <c r="A162" t="s">
        <v>71</v>
      </c>
      <c r="B162" t="s">
        <v>30</v>
      </c>
      <c r="C162" t="s">
        <v>45</v>
      </c>
      <c r="D162">
        <v>3</v>
      </c>
      <c r="E162">
        <v>3</v>
      </c>
      <c r="F162">
        <v>1000</v>
      </c>
      <c r="G162">
        <v>103</v>
      </c>
      <c r="H162">
        <v>0</v>
      </c>
      <c r="I162">
        <v>0</v>
      </c>
      <c r="J162">
        <v>0</v>
      </c>
      <c r="K162">
        <v>14.2</v>
      </c>
      <c r="L162">
        <v>1000</v>
      </c>
      <c r="M162">
        <v>1000</v>
      </c>
      <c r="N162" s="2">
        <v>46100</v>
      </c>
      <c r="O162" s="2">
        <v>46464</v>
      </c>
      <c r="P162" s="2">
        <v>46100</v>
      </c>
      <c r="Q162" t="s">
        <v>27</v>
      </c>
      <c r="R162">
        <v>12</v>
      </c>
      <c r="S162">
        <v>18.28</v>
      </c>
      <c r="T162" t="s">
        <v>40</v>
      </c>
      <c r="U162" t="s">
        <v>202</v>
      </c>
      <c r="V162" t="s">
        <v>329</v>
      </c>
      <c r="W162">
        <v>15.5</v>
      </c>
    </row>
    <row r="163" spans="1:23" x14ac:dyDescent="0.3">
      <c r="A163" t="s">
        <v>72</v>
      </c>
      <c r="B163" t="s">
        <v>30</v>
      </c>
      <c r="C163" t="s">
        <v>45</v>
      </c>
      <c r="D163">
        <v>3</v>
      </c>
      <c r="E163">
        <v>3</v>
      </c>
      <c r="F163">
        <v>1002</v>
      </c>
      <c r="G163">
        <v>66</v>
      </c>
      <c r="H163">
        <v>0</v>
      </c>
      <c r="I163">
        <v>0</v>
      </c>
      <c r="J163">
        <v>0</v>
      </c>
      <c r="K163">
        <v>14.9</v>
      </c>
      <c r="L163">
        <v>1002</v>
      </c>
      <c r="M163">
        <v>1000</v>
      </c>
      <c r="N163" s="2">
        <v>46100</v>
      </c>
      <c r="O163" s="2">
        <v>46191</v>
      </c>
      <c r="P163" s="2">
        <v>46100</v>
      </c>
      <c r="Q163" t="s">
        <v>27</v>
      </c>
      <c r="R163">
        <v>3</v>
      </c>
      <c r="S163">
        <v>19.190000000000001</v>
      </c>
      <c r="T163" t="s">
        <v>40</v>
      </c>
      <c r="U163" t="s">
        <v>202</v>
      </c>
      <c r="V163" t="s">
        <v>329</v>
      </c>
      <c r="W163">
        <v>15.5</v>
      </c>
    </row>
    <row r="164" spans="1:23" x14ac:dyDescent="0.3">
      <c r="A164" t="s">
        <v>73</v>
      </c>
      <c r="B164" t="s">
        <v>30</v>
      </c>
      <c r="C164" t="s">
        <v>45</v>
      </c>
      <c r="D164">
        <v>2</v>
      </c>
      <c r="E164">
        <v>1</v>
      </c>
      <c r="F164">
        <v>960</v>
      </c>
      <c r="G164">
        <v>50</v>
      </c>
      <c r="H164">
        <v>1199</v>
      </c>
      <c r="I164">
        <v>1</v>
      </c>
      <c r="J164">
        <v>3</v>
      </c>
      <c r="K164">
        <v>14</v>
      </c>
      <c r="L164">
        <v>1079.5</v>
      </c>
      <c r="M164">
        <v>1000</v>
      </c>
      <c r="N164" s="2">
        <v>46100</v>
      </c>
      <c r="O164" s="2">
        <v>46464</v>
      </c>
      <c r="P164" s="2">
        <v>46100</v>
      </c>
      <c r="Q164" t="s">
        <v>27</v>
      </c>
      <c r="R164">
        <v>12</v>
      </c>
      <c r="S164">
        <v>18.03</v>
      </c>
      <c r="T164" t="s">
        <v>40</v>
      </c>
      <c r="U164" t="s">
        <v>202</v>
      </c>
      <c r="V164" t="s">
        <v>329</v>
      </c>
      <c r="W164">
        <v>15.5</v>
      </c>
    </row>
    <row r="165" spans="1:23" x14ac:dyDescent="0.3">
      <c r="A165" t="s">
        <v>74</v>
      </c>
      <c r="B165" t="s">
        <v>30</v>
      </c>
      <c r="C165" t="s">
        <v>45</v>
      </c>
      <c r="D165">
        <v>9</v>
      </c>
      <c r="E165">
        <v>9</v>
      </c>
      <c r="F165">
        <v>1000</v>
      </c>
      <c r="G165">
        <f>4+50+6+4+1+5+5+36+100</f>
        <v>211</v>
      </c>
      <c r="H165">
        <v>0</v>
      </c>
      <c r="I165">
        <v>0</v>
      </c>
      <c r="J165">
        <v>0</v>
      </c>
      <c r="K165">
        <v>14.5</v>
      </c>
      <c r="L165">
        <v>858</v>
      </c>
      <c r="M165">
        <v>1000</v>
      </c>
      <c r="N165" s="2">
        <v>46100</v>
      </c>
      <c r="O165" s="2">
        <v>46098</v>
      </c>
      <c r="P165" s="2">
        <v>46100</v>
      </c>
      <c r="Q165" t="s">
        <v>27</v>
      </c>
      <c r="R165">
        <v>24</v>
      </c>
      <c r="S165">
        <v>18.670000000000002</v>
      </c>
      <c r="T165" t="s">
        <v>40</v>
      </c>
      <c r="U165" t="s">
        <v>202</v>
      </c>
      <c r="V165" t="s">
        <v>329</v>
      </c>
      <c r="W165">
        <v>15.5</v>
      </c>
    </row>
    <row r="166" spans="1:23" x14ac:dyDescent="0.3">
      <c r="A166" t="s">
        <v>75</v>
      </c>
      <c r="B166" t="s">
        <v>30</v>
      </c>
      <c r="C166" t="s">
        <v>45</v>
      </c>
      <c r="D166">
        <v>2</v>
      </c>
      <c r="E166">
        <v>2</v>
      </c>
      <c r="F166">
        <v>1001</v>
      </c>
      <c r="G166">
        <f>129+5</f>
        <v>134</v>
      </c>
      <c r="H166">
        <v>0</v>
      </c>
      <c r="I166">
        <v>0</v>
      </c>
      <c r="J166">
        <v>0</v>
      </c>
      <c r="K166">
        <v>15</v>
      </c>
      <c r="L166">
        <v>1001</v>
      </c>
      <c r="M166">
        <v>1000</v>
      </c>
      <c r="N166" s="2">
        <v>46100</v>
      </c>
      <c r="O166" s="2">
        <v>46283</v>
      </c>
      <c r="P166" s="2">
        <v>46100</v>
      </c>
      <c r="Q166" t="s">
        <v>27</v>
      </c>
      <c r="R166">
        <v>6</v>
      </c>
      <c r="S166">
        <v>19.32</v>
      </c>
      <c r="T166" t="s">
        <v>40</v>
      </c>
      <c r="U166" t="s">
        <v>202</v>
      </c>
      <c r="V166" t="s">
        <v>329</v>
      </c>
      <c r="W166">
        <v>15.5</v>
      </c>
    </row>
    <row r="167" spans="1:23" x14ac:dyDescent="0.3">
      <c r="A167" t="s">
        <v>76</v>
      </c>
      <c r="B167" t="s">
        <v>30</v>
      </c>
      <c r="C167" t="s">
        <v>45</v>
      </c>
      <c r="D167">
        <v>2</v>
      </c>
      <c r="E167">
        <v>2</v>
      </c>
      <c r="F167">
        <v>1000</v>
      </c>
      <c r="G167">
        <v>101</v>
      </c>
      <c r="H167">
        <v>0</v>
      </c>
      <c r="I167">
        <v>0</v>
      </c>
      <c r="J167">
        <v>0</v>
      </c>
      <c r="K167">
        <v>14.3</v>
      </c>
      <c r="L167">
        <v>1000</v>
      </c>
      <c r="M167">
        <v>1000</v>
      </c>
      <c r="N167" s="2">
        <v>46100</v>
      </c>
      <c r="O167" s="2">
        <v>46650</v>
      </c>
      <c r="P167" s="2">
        <v>46100</v>
      </c>
      <c r="Q167" t="s">
        <v>27</v>
      </c>
      <c r="R167">
        <v>18</v>
      </c>
      <c r="S167">
        <v>18.41</v>
      </c>
      <c r="T167" t="s">
        <v>40</v>
      </c>
      <c r="U167" t="s">
        <v>202</v>
      </c>
      <c r="V167" t="s">
        <v>329</v>
      </c>
      <c r="W167">
        <v>15.5</v>
      </c>
    </row>
    <row r="168" spans="1:23" x14ac:dyDescent="0.3">
      <c r="A168" t="s">
        <v>77</v>
      </c>
      <c r="B168" t="s">
        <v>30</v>
      </c>
      <c r="C168" t="s">
        <v>45</v>
      </c>
      <c r="D168">
        <v>3</v>
      </c>
      <c r="E168">
        <v>2</v>
      </c>
      <c r="F168">
        <v>990</v>
      </c>
      <c r="G168">
        <v>150</v>
      </c>
      <c r="H168">
        <v>1199</v>
      </c>
      <c r="I168">
        <v>1</v>
      </c>
      <c r="J168">
        <v>8</v>
      </c>
      <c r="K168">
        <v>14.7</v>
      </c>
      <c r="L168">
        <v>1099.5</v>
      </c>
      <c r="M168">
        <v>1000</v>
      </c>
      <c r="N168" s="2">
        <v>46100</v>
      </c>
      <c r="O168" s="2">
        <v>46283</v>
      </c>
      <c r="P168" s="2">
        <v>46100</v>
      </c>
      <c r="Q168" t="s">
        <v>27</v>
      </c>
      <c r="R168">
        <v>6</v>
      </c>
      <c r="S168">
        <v>18.93</v>
      </c>
      <c r="T168" t="s">
        <v>40</v>
      </c>
      <c r="U168" t="s">
        <v>202</v>
      </c>
      <c r="V168" t="s">
        <v>329</v>
      </c>
      <c r="W168">
        <v>15.5</v>
      </c>
    </row>
    <row r="169" spans="1:23" x14ac:dyDescent="0.3">
      <c r="A169" t="s">
        <v>78</v>
      </c>
      <c r="B169" t="s">
        <v>30</v>
      </c>
      <c r="C169" t="s">
        <v>45</v>
      </c>
      <c r="D169">
        <v>4</v>
      </c>
      <c r="E169">
        <v>2</v>
      </c>
      <c r="F169">
        <v>1001</v>
      </c>
      <c r="G169">
        <v>1100</v>
      </c>
      <c r="H169">
        <v>1070</v>
      </c>
      <c r="I169">
        <v>3</v>
      </c>
      <c r="J169">
        <v>15</v>
      </c>
      <c r="K169">
        <v>14.9</v>
      </c>
      <c r="L169">
        <v>1048</v>
      </c>
      <c r="M169">
        <v>1000</v>
      </c>
      <c r="N169" s="2">
        <v>46100</v>
      </c>
      <c r="O169" s="2">
        <v>46191</v>
      </c>
      <c r="P169" s="2">
        <v>46100</v>
      </c>
      <c r="Q169" t="s">
        <v>27</v>
      </c>
      <c r="R169">
        <v>3</v>
      </c>
      <c r="S169">
        <v>19.190000000000001</v>
      </c>
      <c r="T169" t="s">
        <v>40</v>
      </c>
      <c r="U169" t="s">
        <v>202</v>
      </c>
      <c r="V169" t="s">
        <v>329</v>
      </c>
      <c r="W169">
        <v>15.5</v>
      </c>
    </row>
    <row r="170" spans="1:23" x14ac:dyDescent="0.3">
      <c r="A170" t="s">
        <v>79</v>
      </c>
      <c r="B170" t="s">
        <v>30</v>
      </c>
      <c r="C170" t="s">
        <v>45</v>
      </c>
      <c r="D170">
        <v>2</v>
      </c>
      <c r="E170">
        <v>4</v>
      </c>
      <c r="F170">
        <v>1021</v>
      </c>
      <c r="G170">
        <f>20+1+3+100</f>
        <v>124</v>
      </c>
      <c r="H170">
        <v>0</v>
      </c>
      <c r="I170">
        <v>0</v>
      </c>
      <c r="J170">
        <v>0</v>
      </c>
      <c r="K170">
        <v>15</v>
      </c>
      <c r="L170">
        <v>1010</v>
      </c>
      <c r="M170">
        <v>1000</v>
      </c>
      <c r="N170" s="2">
        <v>46100</v>
      </c>
      <c r="O170" s="2">
        <v>46100</v>
      </c>
      <c r="P170" s="2">
        <v>46100</v>
      </c>
      <c r="Q170" t="s">
        <v>27</v>
      </c>
      <c r="R170">
        <v>36</v>
      </c>
      <c r="S170">
        <v>19.32</v>
      </c>
      <c r="T170" t="s">
        <v>40</v>
      </c>
      <c r="U170" t="s">
        <v>202</v>
      </c>
      <c r="V170" t="s">
        <v>329</v>
      </c>
      <c r="W170">
        <v>15.5</v>
      </c>
    </row>
    <row r="171" spans="1:23" x14ac:dyDescent="0.3">
      <c r="A171" t="s">
        <v>80</v>
      </c>
      <c r="B171" t="s">
        <v>30</v>
      </c>
      <c r="C171" t="s">
        <v>45</v>
      </c>
      <c r="D171">
        <v>5</v>
      </c>
      <c r="E171">
        <v>4</v>
      </c>
      <c r="F171">
        <v>1002</v>
      </c>
      <c r="G171">
        <f>344+200+1+50</f>
        <v>595</v>
      </c>
      <c r="H171">
        <v>1050</v>
      </c>
      <c r="I171">
        <v>1</v>
      </c>
      <c r="J171">
        <v>39</v>
      </c>
      <c r="K171">
        <v>15</v>
      </c>
      <c r="L171">
        <v>1022</v>
      </c>
      <c r="M171">
        <v>1000</v>
      </c>
      <c r="N171" s="2">
        <v>46100</v>
      </c>
      <c r="O171" s="2">
        <v>46100</v>
      </c>
      <c r="P171" s="2">
        <v>46100</v>
      </c>
      <c r="Q171" t="s">
        <v>27</v>
      </c>
      <c r="R171">
        <v>36</v>
      </c>
      <c r="S171">
        <v>19.32</v>
      </c>
      <c r="T171" t="s">
        <v>40</v>
      </c>
      <c r="U171" t="s">
        <v>202</v>
      </c>
      <c r="V171" t="s">
        <v>329</v>
      </c>
      <c r="W171">
        <v>15.5</v>
      </c>
    </row>
    <row r="172" spans="1:23" x14ac:dyDescent="0.3">
      <c r="A172" t="s">
        <v>81</v>
      </c>
      <c r="B172" t="s">
        <v>30</v>
      </c>
      <c r="C172" t="s">
        <v>45</v>
      </c>
      <c r="D172">
        <v>1</v>
      </c>
      <c r="E172">
        <v>1</v>
      </c>
      <c r="F172">
        <v>1000</v>
      </c>
      <c r="G172">
        <v>102</v>
      </c>
      <c r="H172">
        <v>0</v>
      </c>
      <c r="I172">
        <v>0</v>
      </c>
      <c r="J172">
        <v>0</v>
      </c>
      <c r="K172">
        <v>14.7</v>
      </c>
      <c r="L172">
        <v>1000</v>
      </c>
      <c r="M172">
        <v>1000</v>
      </c>
      <c r="N172" s="2">
        <v>46100</v>
      </c>
      <c r="O172" s="2">
        <v>46313</v>
      </c>
      <c r="P172" s="2">
        <v>46100</v>
      </c>
      <c r="Q172" t="s">
        <v>27</v>
      </c>
      <c r="R172">
        <v>6</v>
      </c>
      <c r="S172">
        <v>18.93</v>
      </c>
      <c r="T172" t="s">
        <v>40</v>
      </c>
      <c r="U172" t="s">
        <v>202</v>
      </c>
      <c r="V172" t="s">
        <v>329</v>
      </c>
      <c r="W172">
        <v>15.5</v>
      </c>
    </row>
    <row r="173" spans="1:23" x14ac:dyDescent="0.3">
      <c r="A173" t="s">
        <v>83</v>
      </c>
      <c r="B173" t="s">
        <v>30</v>
      </c>
      <c r="C173" t="s">
        <v>45</v>
      </c>
      <c r="D173">
        <v>2</v>
      </c>
      <c r="E173">
        <v>2</v>
      </c>
      <c r="F173">
        <v>1001</v>
      </c>
      <c r="G173">
        <v>128</v>
      </c>
      <c r="H173">
        <v>0</v>
      </c>
      <c r="I173">
        <v>0</v>
      </c>
      <c r="J173">
        <v>0</v>
      </c>
      <c r="K173">
        <v>15</v>
      </c>
      <c r="L173">
        <v>1001</v>
      </c>
      <c r="M173">
        <v>1000</v>
      </c>
      <c r="N173" s="2">
        <v>46100</v>
      </c>
      <c r="O173" s="2">
        <v>46191</v>
      </c>
      <c r="P173" s="2">
        <v>46100</v>
      </c>
      <c r="Q173" t="s">
        <v>27</v>
      </c>
      <c r="R173">
        <v>3</v>
      </c>
      <c r="S173">
        <v>19.32</v>
      </c>
      <c r="T173" t="s">
        <v>40</v>
      </c>
      <c r="U173" t="s">
        <v>202</v>
      </c>
      <c r="V173" t="s">
        <v>329</v>
      </c>
      <c r="W173">
        <v>15.5</v>
      </c>
    </row>
    <row r="174" spans="1:23" x14ac:dyDescent="0.3">
      <c r="A174" t="s">
        <v>84</v>
      </c>
      <c r="B174" t="s">
        <v>30</v>
      </c>
      <c r="C174" t="s">
        <v>45</v>
      </c>
      <c r="D174">
        <v>1</v>
      </c>
      <c r="E174">
        <v>1</v>
      </c>
      <c r="F174">
        <v>1001</v>
      </c>
      <c r="G174">
        <v>98</v>
      </c>
      <c r="H174">
        <v>0</v>
      </c>
      <c r="I174">
        <v>0</v>
      </c>
      <c r="J174">
        <v>0</v>
      </c>
      <c r="K174">
        <v>15.1</v>
      </c>
      <c r="L174">
        <v>1000</v>
      </c>
      <c r="M174">
        <v>1000</v>
      </c>
      <c r="N174" s="2">
        <v>46100</v>
      </c>
      <c r="O174" s="2">
        <v>46191</v>
      </c>
      <c r="P174" s="2">
        <v>46100</v>
      </c>
      <c r="Q174" t="s">
        <v>27</v>
      </c>
      <c r="R174">
        <v>3</v>
      </c>
      <c r="S174">
        <v>19.440000000000001</v>
      </c>
      <c r="T174" t="s">
        <v>40</v>
      </c>
      <c r="U174" t="s">
        <v>202</v>
      </c>
      <c r="V174" t="s">
        <v>329</v>
      </c>
      <c r="W174">
        <v>15.5</v>
      </c>
    </row>
    <row r="175" spans="1:23" x14ac:dyDescent="0.3">
      <c r="A175" t="s">
        <v>324</v>
      </c>
      <c r="B175" t="s">
        <v>317</v>
      </c>
      <c r="C175" t="s">
        <v>45</v>
      </c>
      <c r="D175">
        <v>2</v>
      </c>
      <c r="E175">
        <v>2</v>
      </c>
      <c r="F175">
        <v>1199</v>
      </c>
      <c r="G175">
        <f>6+39</f>
        <v>45</v>
      </c>
      <c r="H175">
        <v>0</v>
      </c>
      <c r="I175">
        <v>0</v>
      </c>
      <c r="J175">
        <v>0</v>
      </c>
      <c r="M175">
        <v>1000</v>
      </c>
      <c r="N175" s="2">
        <v>46101</v>
      </c>
      <c r="O175" s="2">
        <v>46192</v>
      </c>
      <c r="P175" s="2">
        <v>46192</v>
      </c>
      <c r="Q175" t="s">
        <v>96</v>
      </c>
      <c r="R175" s="3">
        <v>3</v>
      </c>
      <c r="S175" t="s">
        <v>59</v>
      </c>
      <c r="T175" t="s">
        <v>39</v>
      </c>
      <c r="U175" t="s">
        <v>169</v>
      </c>
      <c r="V175" t="s">
        <v>328</v>
      </c>
      <c r="W175">
        <v>15.5</v>
      </c>
    </row>
    <row r="176" spans="1:23" x14ac:dyDescent="0.3">
      <c r="A176" t="s">
        <v>69</v>
      </c>
      <c r="B176" t="s">
        <v>30</v>
      </c>
      <c r="C176" t="s">
        <v>45</v>
      </c>
      <c r="D176">
        <v>12</v>
      </c>
      <c r="E176">
        <v>12</v>
      </c>
      <c r="F176">
        <v>1150</v>
      </c>
      <c r="G176">
        <f>2023+255+20+287+48+50+2+10+1+4+3+42</f>
        <v>2745</v>
      </c>
      <c r="H176">
        <v>0</v>
      </c>
      <c r="I176">
        <v>0</v>
      </c>
      <c r="J176">
        <v>0</v>
      </c>
      <c r="K176">
        <v>20</v>
      </c>
      <c r="L176">
        <v>1150</v>
      </c>
      <c r="M176">
        <v>1000</v>
      </c>
      <c r="N176" s="2">
        <v>46102</v>
      </c>
      <c r="O176" s="2">
        <v>46192</v>
      </c>
      <c r="P176" s="2">
        <v>46104</v>
      </c>
      <c r="Q176" t="s">
        <v>27</v>
      </c>
      <c r="R176">
        <v>3</v>
      </c>
      <c r="S176">
        <v>24.66</v>
      </c>
      <c r="T176" t="s">
        <v>40</v>
      </c>
      <c r="U176" t="s">
        <v>202</v>
      </c>
      <c r="V176" t="s">
        <v>329</v>
      </c>
      <c r="W176">
        <v>15</v>
      </c>
    </row>
    <row r="177" spans="1:23" x14ac:dyDescent="0.3">
      <c r="A177" t="s">
        <v>70</v>
      </c>
      <c r="B177" t="s">
        <v>30</v>
      </c>
      <c r="C177" t="s">
        <v>45</v>
      </c>
      <c r="D177">
        <v>9</v>
      </c>
      <c r="E177">
        <v>9</v>
      </c>
      <c r="F177">
        <v>1005</v>
      </c>
      <c r="G177">
        <f>2+1+200+11+10+2+52+5+1</f>
        <v>284</v>
      </c>
      <c r="H177">
        <v>0</v>
      </c>
      <c r="I177">
        <v>0</v>
      </c>
      <c r="J177">
        <v>0</v>
      </c>
      <c r="K177">
        <v>15.1</v>
      </c>
      <c r="L177">
        <v>1005</v>
      </c>
      <c r="M177">
        <v>1000</v>
      </c>
      <c r="N177" s="2">
        <v>46102</v>
      </c>
      <c r="O177" s="2">
        <v>46195</v>
      </c>
      <c r="P177" s="2">
        <v>46104</v>
      </c>
      <c r="Q177" t="s">
        <v>27</v>
      </c>
      <c r="R177">
        <v>3</v>
      </c>
      <c r="S177">
        <v>18.62</v>
      </c>
      <c r="T177" t="s">
        <v>40</v>
      </c>
      <c r="U177" t="s">
        <v>202</v>
      </c>
      <c r="V177" t="s">
        <v>329</v>
      </c>
      <c r="W177">
        <v>15</v>
      </c>
    </row>
    <row r="178" spans="1:23" x14ac:dyDescent="0.3">
      <c r="A178" t="s">
        <v>66</v>
      </c>
      <c r="B178" t="s">
        <v>67</v>
      </c>
      <c r="C178" t="s">
        <v>45</v>
      </c>
      <c r="D178">
        <v>18</v>
      </c>
      <c r="E178">
        <v>7</v>
      </c>
      <c r="F178">
        <v>1005</v>
      </c>
      <c r="G178">
        <f>10+496+100+53+34+100+250</f>
        <v>1043</v>
      </c>
      <c r="H178">
        <v>1007</v>
      </c>
      <c r="I178">
        <f>D178-E178</f>
        <v>11</v>
      </c>
      <c r="J178">
        <f>5+20+200+39+50+10+5+3+1+5+10</f>
        <v>348</v>
      </c>
      <c r="K178">
        <v>17.25</v>
      </c>
      <c r="L178">
        <v>1007.5</v>
      </c>
      <c r="M178">
        <v>1000</v>
      </c>
      <c r="N178" s="2">
        <v>46104</v>
      </c>
      <c r="O178" s="2">
        <v>46464</v>
      </c>
      <c r="P178" s="2">
        <v>46105</v>
      </c>
      <c r="Q178" t="s">
        <v>27</v>
      </c>
      <c r="R178">
        <v>12</v>
      </c>
      <c r="S178">
        <v>5.2</v>
      </c>
      <c r="T178" t="s">
        <v>39</v>
      </c>
      <c r="U178" t="s">
        <v>90</v>
      </c>
      <c r="V178" t="s">
        <v>329</v>
      </c>
      <c r="W178">
        <v>15</v>
      </c>
    </row>
    <row r="179" spans="1:23" x14ac:dyDescent="0.3">
      <c r="A179" t="s">
        <v>293</v>
      </c>
      <c r="B179" t="s">
        <v>181</v>
      </c>
      <c r="C179" t="s">
        <v>45</v>
      </c>
      <c r="D179">
        <v>29</v>
      </c>
      <c r="E179">
        <v>9</v>
      </c>
      <c r="F179">
        <v>1037.8499999999999</v>
      </c>
      <c r="G179">
        <f>2+1+1+5+2+2+9+4+6</f>
        <v>32</v>
      </c>
      <c r="H179">
        <v>1044.78</v>
      </c>
      <c r="I179">
        <v>20</v>
      </c>
      <c r="J179">
        <f>2+1+3+2+155+23+1+109+171+3+1+1+1+1+21+3+5+30+5+400</f>
        <v>938</v>
      </c>
      <c r="K179">
        <v>20.5</v>
      </c>
      <c r="L179">
        <v>1037.8499999999999</v>
      </c>
      <c r="M179">
        <v>1000</v>
      </c>
      <c r="N179" s="2">
        <v>46104</v>
      </c>
      <c r="O179" s="2">
        <v>46381</v>
      </c>
      <c r="Q179" t="s">
        <v>27</v>
      </c>
      <c r="R179">
        <v>8</v>
      </c>
      <c r="S179">
        <v>2.8</v>
      </c>
      <c r="T179" t="s">
        <v>39</v>
      </c>
      <c r="V179" t="s">
        <v>327</v>
      </c>
      <c r="W179">
        <v>15</v>
      </c>
    </row>
    <row r="180" spans="1:23" x14ac:dyDescent="0.3">
      <c r="A180" t="s">
        <v>291</v>
      </c>
      <c r="B180" t="s">
        <v>283</v>
      </c>
      <c r="C180" t="s">
        <v>45</v>
      </c>
      <c r="D180">
        <v>28</v>
      </c>
      <c r="E180">
        <v>8</v>
      </c>
      <c r="F180">
        <v>1037.8499999999999</v>
      </c>
      <c r="G180">
        <f>5+8+9+2+2+5+1</f>
        <v>32</v>
      </c>
      <c r="H180">
        <v>1044.78</v>
      </c>
      <c r="I180">
        <v>20</v>
      </c>
      <c r="J180">
        <f>1+3+2+155+23+1+109+171+3+4+21+3+5+30+5+300</f>
        <v>836</v>
      </c>
      <c r="K180">
        <v>20.5</v>
      </c>
      <c r="L180">
        <v>1037.8499999999999</v>
      </c>
      <c r="M180">
        <v>1000</v>
      </c>
      <c r="N180" s="2">
        <v>46104</v>
      </c>
      <c r="O180" s="2">
        <v>46381</v>
      </c>
      <c r="Q180" t="s">
        <v>27</v>
      </c>
      <c r="R180">
        <v>9</v>
      </c>
      <c r="S180">
        <v>3.36</v>
      </c>
      <c r="T180" t="s">
        <v>39</v>
      </c>
      <c r="V180" t="s">
        <v>327</v>
      </c>
      <c r="W180">
        <v>15</v>
      </c>
    </row>
    <row r="181" spans="1:23" x14ac:dyDescent="0.3">
      <c r="A181" t="s">
        <v>311</v>
      </c>
      <c r="B181" t="s">
        <v>47</v>
      </c>
      <c r="C181" t="s">
        <v>45</v>
      </c>
      <c r="D181">
        <v>40</v>
      </c>
      <c r="E181">
        <v>20</v>
      </c>
      <c r="F181">
        <v>1002.1</v>
      </c>
      <c r="G181">
        <f>4+37+6+47+1+1+138+1+180+5+2+3+2+3+24+5+117+31+12+152</f>
        <v>771</v>
      </c>
      <c r="H181">
        <v>1004.54</v>
      </c>
      <c r="I181">
        <v>20</v>
      </c>
      <c r="J181">
        <f>1+1+10+10+32+43+1+5+2+21+1+1+5+100+3+10+6+98+53+20</f>
        <v>423</v>
      </c>
      <c r="K181">
        <v>17</v>
      </c>
      <c r="L181">
        <v>1004.4</v>
      </c>
      <c r="M181" s="1">
        <v>1000</v>
      </c>
      <c r="N181" s="2">
        <v>46106</v>
      </c>
      <c r="O181" s="2">
        <v>46472</v>
      </c>
      <c r="Q181" t="s">
        <v>27</v>
      </c>
      <c r="R181">
        <v>12</v>
      </c>
      <c r="S181">
        <v>3.26</v>
      </c>
      <c r="T181" t="s">
        <v>39</v>
      </c>
      <c r="U181" t="s">
        <v>306</v>
      </c>
      <c r="V181" t="s">
        <v>327</v>
      </c>
      <c r="W181">
        <v>15</v>
      </c>
    </row>
    <row r="182" spans="1:23" x14ac:dyDescent="0.3">
      <c r="A182" t="s">
        <v>64</v>
      </c>
      <c r="B182" t="s">
        <v>65</v>
      </c>
      <c r="C182" t="s">
        <v>45</v>
      </c>
      <c r="D182">
        <v>16</v>
      </c>
      <c r="E182">
        <v>9</v>
      </c>
      <c r="F182">
        <v>1010</v>
      </c>
      <c r="G182">
        <f>1+500+30+6+100+30+1+5+4</f>
        <v>677</v>
      </c>
      <c r="H182">
        <v>1049</v>
      </c>
      <c r="I182">
        <f>D182-E182</f>
        <v>7</v>
      </c>
      <c r="J182">
        <f>27+50+10+5+3+1+20</f>
        <v>116</v>
      </c>
      <c r="K182">
        <v>18</v>
      </c>
      <c r="L182">
        <v>1030</v>
      </c>
      <c r="M182">
        <v>1000</v>
      </c>
      <c r="N182" s="2">
        <v>46107</v>
      </c>
      <c r="O182" s="2">
        <v>46472</v>
      </c>
      <c r="P182" s="2">
        <v>46108</v>
      </c>
      <c r="Q182" t="s">
        <v>27</v>
      </c>
      <c r="R182">
        <v>12</v>
      </c>
      <c r="S182">
        <v>3.45</v>
      </c>
      <c r="T182" t="s">
        <v>39</v>
      </c>
      <c r="V182" t="s">
        <v>329</v>
      </c>
      <c r="W182">
        <v>15</v>
      </c>
    </row>
    <row r="183" spans="1:23" x14ac:dyDescent="0.3">
      <c r="A183" t="s">
        <v>62</v>
      </c>
      <c r="B183" t="s">
        <v>63</v>
      </c>
      <c r="C183" t="s">
        <v>45</v>
      </c>
      <c r="D183">
        <v>5</v>
      </c>
      <c r="E183">
        <v>5</v>
      </c>
      <c r="F183">
        <v>1015</v>
      </c>
      <c r="G183">
        <f>100+210+8+1+3</f>
        <v>322</v>
      </c>
      <c r="H183">
        <v>0</v>
      </c>
      <c r="I183">
        <v>0</v>
      </c>
      <c r="J183">
        <v>0</v>
      </c>
      <c r="K183">
        <v>18.600000000000001</v>
      </c>
      <c r="L183">
        <v>1015</v>
      </c>
      <c r="M183">
        <v>1000</v>
      </c>
      <c r="N183" s="2">
        <v>46108</v>
      </c>
      <c r="O183" s="2">
        <v>46290</v>
      </c>
      <c r="P183" s="2">
        <v>46111</v>
      </c>
      <c r="Q183" t="s">
        <v>27</v>
      </c>
      <c r="R183">
        <v>6</v>
      </c>
      <c r="S183" s="4">
        <v>3.57</v>
      </c>
      <c r="T183" t="s">
        <v>39</v>
      </c>
      <c r="V183" t="s">
        <v>329</v>
      </c>
      <c r="W183">
        <v>15</v>
      </c>
    </row>
    <row r="184" spans="1:23" x14ac:dyDescent="0.3">
      <c r="A184" t="s">
        <v>319</v>
      </c>
      <c r="B184" t="s">
        <v>320</v>
      </c>
      <c r="C184" t="s">
        <v>45</v>
      </c>
      <c r="D184">
        <v>1</v>
      </c>
      <c r="E184">
        <v>0</v>
      </c>
      <c r="F184">
        <v>0</v>
      </c>
      <c r="G184">
        <v>0</v>
      </c>
      <c r="H184">
        <v>70.2</v>
      </c>
      <c r="I184">
        <v>1</v>
      </c>
      <c r="J184">
        <v>13</v>
      </c>
      <c r="M184">
        <v>82.13</v>
      </c>
      <c r="N184" s="2">
        <v>46108</v>
      </c>
      <c r="O184" s="2">
        <v>46169</v>
      </c>
      <c r="P184" s="2">
        <v>46169</v>
      </c>
      <c r="Q184" t="s">
        <v>96</v>
      </c>
      <c r="R184">
        <v>2</v>
      </c>
      <c r="S184" t="s">
        <v>59</v>
      </c>
      <c r="T184" t="s">
        <v>40</v>
      </c>
      <c r="U184" t="s">
        <v>325</v>
      </c>
      <c r="V184" t="s">
        <v>328</v>
      </c>
      <c r="W184">
        <v>15</v>
      </c>
    </row>
    <row r="185" spans="1:23" x14ac:dyDescent="0.3">
      <c r="A185" t="s">
        <v>60</v>
      </c>
      <c r="B185" t="s">
        <v>61</v>
      </c>
      <c r="C185" t="s">
        <v>45</v>
      </c>
      <c r="D185">
        <v>5</v>
      </c>
      <c r="E185">
        <v>5</v>
      </c>
      <c r="F185">
        <v>1102</v>
      </c>
      <c r="G185">
        <f>500+11+22+4</f>
        <v>537</v>
      </c>
      <c r="H185">
        <v>0</v>
      </c>
      <c r="I185">
        <v>0</v>
      </c>
      <c r="J185">
        <v>0</v>
      </c>
      <c r="K185">
        <v>18.75</v>
      </c>
      <c r="L185">
        <v>1100</v>
      </c>
      <c r="M185">
        <v>1000</v>
      </c>
      <c r="N185" s="2">
        <v>46111</v>
      </c>
      <c r="O185" s="2">
        <v>46386</v>
      </c>
      <c r="P185" s="2">
        <v>46112</v>
      </c>
      <c r="Q185" t="s">
        <v>27</v>
      </c>
      <c r="R185">
        <v>9</v>
      </c>
      <c r="S185">
        <v>2.0499999999999998</v>
      </c>
      <c r="T185" t="s">
        <v>39</v>
      </c>
      <c r="V185" t="s">
        <v>329</v>
      </c>
      <c r="W185">
        <v>15</v>
      </c>
    </row>
    <row r="186" spans="1:23" x14ac:dyDescent="0.3">
      <c r="A186" t="s">
        <v>56</v>
      </c>
      <c r="B186" t="s">
        <v>57</v>
      </c>
      <c r="C186" t="s">
        <v>45</v>
      </c>
      <c r="D186">
        <v>30</v>
      </c>
      <c r="E186">
        <v>12</v>
      </c>
      <c r="F186">
        <v>1030</v>
      </c>
      <c r="G186">
        <f>71+1+31+36+22+500+50+865+2+52+56+38</f>
        <v>1724</v>
      </c>
      <c r="H186">
        <v>1080</v>
      </c>
      <c r="I186">
        <f>D186-E186</f>
        <v>18</v>
      </c>
      <c r="J186">
        <f>9+61+10+1+679+3+1+100+500+1000+1+100+1+200+1000+500+500+6</f>
        <v>4672</v>
      </c>
      <c r="K186">
        <v>21</v>
      </c>
      <c r="L186">
        <v>1054.5</v>
      </c>
      <c r="M186">
        <v>1000</v>
      </c>
      <c r="N186" s="2">
        <v>46112</v>
      </c>
      <c r="O186" s="2">
        <v>46477</v>
      </c>
      <c r="P186" s="2">
        <v>46113</v>
      </c>
      <c r="Q186" t="s">
        <v>27</v>
      </c>
      <c r="R186">
        <v>12</v>
      </c>
      <c r="S186">
        <v>2.2999999999999998</v>
      </c>
      <c r="T186" t="s">
        <v>39</v>
      </c>
      <c r="U186" t="s">
        <v>58</v>
      </c>
      <c r="V186" t="s">
        <v>329</v>
      </c>
      <c r="W186">
        <v>15</v>
      </c>
    </row>
    <row r="187" spans="1:23" x14ac:dyDescent="0.3">
      <c r="A187" t="s">
        <v>55</v>
      </c>
      <c r="B187" t="s">
        <v>30</v>
      </c>
      <c r="C187" t="s">
        <v>45</v>
      </c>
      <c r="D187">
        <v>5</v>
      </c>
      <c r="E187">
        <v>5</v>
      </c>
      <c r="F187">
        <v>1200</v>
      </c>
      <c r="G187">
        <f>119+1+2+8+2</f>
        <v>132</v>
      </c>
      <c r="H187">
        <v>0</v>
      </c>
      <c r="I187">
        <v>0</v>
      </c>
      <c r="J187">
        <v>0</v>
      </c>
      <c r="K187">
        <v>14.67</v>
      </c>
      <c r="L187">
        <v>1010</v>
      </c>
      <c r="M187">
        <v>1000</v>
      </c>
      <c r="N187" s="2">
        <v>46113</v>
      </c>
      <c r="O187" s="2">
        <v>46204</v>
      </c>
      <c r="P187" s="2">
        <v>46113</v>
      </c>
      <c r="Q187" t="s">
        <v>27</v>
      </c>
      <c r="R187">
        <v>3</v>
      </c>
      <c r="S187">
        <v>13.67</v>
      </c>
      <c r="T187" t="s">
        <v>40</v>
      </c>
      <c r="U187" t="s">
        <v>202</v>
      </c>
      <c r="V187" t="s">
        <v>329</v>
      </c>
      <c r="W187">
        <v>15</v>
      </c>
    </row>
    <row r="188" spans="1:23" x14ac:dyDescent="0.3">
      <c r="A188" t="s">
        <v>50</v>
      </c>
      <c r="B188" t="s">
        <v>51</v>
      </c>
      <c r="C188" t="s">
        <v>45</v>
      </c>
      <c r="D188">
        <v>11</v>
      </c>
      <c r="E188">
        <v>4</v>
      </c>
      <c r="F188">
        <v>1010</v>
      </c>
      <c r="G188">
        <f>10+1775+250+236</f>
        <v>2271</v>
      </c>
      <c r="H188">
        <v>1062</v>
      </c>
      <c r="I188">
        <v>7</v>
      </c>
      <c r="J188">
        <f>1+160+2+10+102</f>
        <v>275</v>
      </c>
      <c r="K188">
        <v>20</v>
      </c>
      <c r="L188">
        <v>1011.5</v>
      </c>
      <c r="M188">
        <v>1000</v>
      </c>
      <c r="N188" s="2">
        <v>46114</v>
      </c>
      <c r="O188" s="2">
        <v>46479</v>
      </c>
      <c r="P188" s="2">
        <v>46115</v>
      </c>
      <c r="Q188" t="s">
        <v>27</v>
      </c>
      <c r="R188">
        <v>12</v>
      </c>
      <c r="S188">
        <v>17.53</v>
      </c>
      <c r="T188" t="s">
        <v>39</v>
      </c>
      <c r="V188" t="s">
        <v>329</v>
      </c>
      <c r="W188">
        <v>15</v>
      </c>
    </row>
    <row r="189" spans="1:23" x14ac:dyDescent="0.3">
      <c r="A189" t="s">
        <v>52</v>
      </c>
      <c r="B189" t="s">
        <v>30</v>
      </c>
      <c r="C189" t="s">
        <v>45</v>
      </c>
      <c r="D189">
        <v>6</v>
      </c>
      <c r="E189">
        <v>6</v>
      </c>
      <c r="F189">
        <v>1011</v>
      </c>
      <c r="G189">
        <f>1+1+100+17+7</f>
        <v>126</v>
      </c>
      <c r="H189">
        <v>0</v>
      </c>
      <c r="I189">
        <v>0</v>
      </c>
      <c r="J189">
        <v>0</v>
      </c>
      <c r="K189">
        <v>14.2</v>
      </c>
      <c r="L189">
        <v>1011</v>
      </c>
      <c r="M189">
        <v>1000</v>
      </c>
      <c r="N189" s="2">
        <v>46114</v>
      </c>
      <c r="O189" s="2">
        <v>46296</v>
      </c>
      <c r="P189" s="2">
        <v>46114</v>
      </c>
      <c r="Q189" t="s">
        <v>27</v>
      </c>
      <c r="R189">
        <v>6</v>
      </c>
      <c r="S189">
        <v>12.84</v>
      </c>
      <c r="T189" t="s">
        <v>40</v>
      </c>
      <c r="U189" t="s">
        <v>202</v>
      </c>
      <c r="V189" t="s">
        <v>329</v>
      </c>
      <c r="W189">
        <v>15</v>
      </c>
    </row>
    <row r="190" spans="1:23" x14ac:dyDescent="0.3">
      <c r="A190" t="s">
        <v>54</v>
      </c>
      <c r="B190" t="s">
        <v>30</v>
      </c>
      <c r="C190" t="s">
        <v>45</v>
      </c>
      <c r="D190">
        <v>6</v>
      </c>
      <c r="E190">
        <v>6</v>
      </c>
      <c r="F190">
        <v>1002</v>
      </c>
      <c r="G190">
        <f>52+3+69+70+51+5</f>
        <v>250</v>
      </c>
      <c r="H190">
        <v>0</v>
      </c>
      <c r="I190">
        <v>0</v>
      </c>
      <c r="J190">
        <v>0</v>
      </c>
      <c r="K190">
        <v>14.38</v>
      </c>
      <c r="L190">
        <v>1002</v>
      </c>
      <c r="M190">
        <v>1000</v>
      </c>
      <c r="N190" s="2">
        <v>46114</v>
      </c>
      <c r="O190" s="2">
        <v>46296</v>
      </c>
      <c r="P190" s="2">
        <v>46114</v>
      </c>
      <c r="Q190" t="s">
        <v>27</v>
      </c>
      <c r="R190">
        <v>6</v>
      </c>
      <c r="S190">
        <v>13</v>
      </c>
      <c r="T190" t="s">
        <v>40</v>
      </c>
      <c r="U190" t="s">
        <v>202</v>
      </c>
      <c r="V190" t="s">
        <v>329</v>
      </c>
      <c r="W190">
        <v>15</v>
      </c>
    </row>
    <row r="191" spans="1:23" x14ac:dyDescent="0.3">
      <c r="A191" t="s">
        <v>46</v>
      </c>
      <c r="B191" t="s">
        <v>47</v>
      </c>
      <c r="C191" t="s">
        <v>45</v>
      </c>
      <c r="D191">
        <v>25</v>
      </c>
      <c r="E191">
        <v>8</v>
      </c>
      <c r="F191">
        <v>1000</v>
      </c>
      <c r="G191">
        <f>3+1+5+100+5+12+506+2</f>
        <v>634</v>
      </c>
      <c r="H191">
        <v>1015</v>
      </c>
      <c r="I191">
        <f>D191-E191</f>
        <v>17</v>
      </c>
      <c r="J191">
        <f>21+1000+54+15+1+1+3+5+10+50+2+21+20+2+1+97</f>
        <v>1303</v>
      </c>
      <c r="K191">
        <v>17.5</v>
      </c>
      <c r="L191">
        <v>1007.5</v>
      </c>
      <c r="M191">
        <v>1000</v>
      </c>
      <c r="N191" s="2">
        <v>46125</v>
      </c>
      <c r="O191" s="2">
        <v>46490</v>
      </c>
      <c r="P191" s="2">
        <v>46217</v>
      </c>
      <c r="Q191" t="s">
        <v>27</v>
      </c>
      <c r="R191">
        <v>12</v>
      </c>
      <c r="S191">
        <v>10.07</v>
      </c>
      <c r="T191" t="s">
        <v>39</v>
      </c>
      <c r="U191" t="s">
        <v>49</v>
      </c>
      <c r="V191" t="s">
        <v>329</v>
      </c>
      <c r="W191">
        <v>15</v>
      </c>
    </row>
    <row r="192" spans="1:23" x14ac:dyDescent="0.3">
      <c r="A192" t="s">
        <v>292</v>
      </c>
      <c r="B192" t="s">
        <v>181</v>
      </c>
      <c r="C192" t="s">
        <v>45</v>
      </c>
      <c r="D192">
        <v>27</v>
      </c>
      <c r="E192">
        <v>19</v>
      </c>
      <c r="F192">
        <v>1032.54</v>
      </c>
      <c r="G192">
        <f>10+6+1+2+1+3+10+20+50+1+7+1+1+80+1+5+7+4+10</f>
        <v>220</v>
      </c>
      <c r="H192">
        <v>1050</v>
      </c>
      <c r="I192">
        <v>8</v>
      </c>
      <c r="J192">
        <f>67+46+27+5+32+52+30+2</f>
        <v>261</v>
      </c>
      <c r="K192">
        <v>20.5</v>
      </c>
      <c r="L192">
        <v>1050</v>
      </c>
      <c r="M192">
        <v>1000</v>
      </c>
      <c r="N192" s="2">
        <v>46125</v>
      </c>
      <c r="O192" s="2">
        <v>46402</v>
      </c>
      <c r="Q192" t="s">
        <v>27</v>
      </c>
      <c r="R192">
        <v>9</v>
      </c>
      <c r="S192">
        <v>11.79</v>
      </c>
      <c r="T192" t="s">
        <v>39</v>
      </c>
      <c r="V192" t="s">
        <v>327</v>
      </c>
      <c r="W192">
        <v>15</v>
      </c>
    </row>
    <row r="193" spans="1:23" x14ac:dyDescent="0.3">
      <c r="A193" t="s">
        <v>314</v>
      </c>
      <c r="B193" t="s">
        <v>322</v>
      </c>
      <c r="C193" t="s">
        <v>323</v>
      </c>
      <c r="D193">
        <v>1</v>
      </c>
      <c r="E193">
        <v>1</v>
      </c>
      <c r="F193" s="1">
        <v>10000</v>
      </c>
      <c r="G193">
        <v>1</v>
      </c>
      <c r="H193">
        <v>0</v>
      </c>
      <c r="I193">
        <v>0</v>
      </c>
      <c r="J193">
        <v>0</v>
      </c>
      <c r="M193">
        <v>9373</v>
      </c>
      <c r="N193" s="2">
        <v>46125</v>
      </c>
      <c r="O193" s="2">
        <v>46308</v>
      </c>
      <c r="P193" s="2">
        <v>46308</v>
      </c>
      <c r="Q193" t="s">
        <v>96</v>
      </c>
      <c r="R193">
        <v>6</v>
      </c>
      <c r="S193" t="s">
        <v>59</v>
      </c>
      <c r="T193" t="s">
        <v>40</v>
      </c>
      <c r="V193" t="s">
        <v>328</v>
      </c>
      <c r="W193">
        <v>15</v>
      </c>
    </row>
    <row r="194" spans="1:23" x14ac:dyDescent="0.3">
      <c r="A194" t="s">
        <v>41</v>
      </c>
      <c r="B194" t="s">
        <v>30</v>
      </c>
      <c r="C194" t="s">
        <v>45</v>
      </c>
      <c r="D194">
        <v>10</v>
      </c>
      <c r="E194">
        <v>7</v>
      </c>
      <c r="F194">
        <v>1006</v>
      </c>
      <c r="G194">
        <f>1+5+30+370+50+1000+15</f>
        <v>1471</v>
      </c>
      <c r="H194">
        <v>1025</v>
      </c>
      <c r="I194">
        <v>3</v>
      </c>
      <c r="J194">
        <f>1+6+343</f>
        <v>350</v>
      </c>
      <c r="K194">
        <v>14.5</v>
      </c>
      <c r="L194">
        <v>1015.5</v>
      </c>
      <c r="M194">
        <v>1000</v>
      </c>
      <c r="N194" s="2">
        <v>46128</v>
      </c>
      <c r="O194" s="2">
        <v>46218</v>
      </c>
      <c r="P194" s="2">
        <v>46128</v>
      </c>
      <c r="Q194" t="s">
        <v>27</v>
      </c>
      <c r="R194">
        <v>3</v>
      </c>
      <c r="S194">
        <v>7.55</v>
      </c>
      <c r="T194" t="s">
        <v>40</v>
      </c>
      <c r="U194" t="s">
        <v>202</v>
      </c>
      <c r="V194" t="s">
        <v>329</v>
      </c>
      <c r="W194">
        <v>15</v>
      </c>
    </row>
    <row r="195" spans="1:23" x14ac:dyDescent="0.3">
      <c r="A195" t="s">
        <v>34</v>
      </c>
      <c r="B195" t="s">
        <v>35</v>
      </c>
      <c r="C195" t="s">
        <v>45</v>
      </c>
      <c r="D195">
        <v>26</v>
      </c>
      <c r="E195">
        <v>9</v>
      </c>
      <c r="F195">
        <v>1008</v>
      </c>
      <c r="G195">
        <f>4+30+2+100+200+11+500+51</f>
        <v>898</v>
      </c>
      <c r="H195">
        <v>1014</v>
      </c>
      <c r="I195">
        <v>17</v>
      </c>
      <c r="J195">
        <f>20+2+50+10+91+1+3+5+7+60+50+1+3+1+20+59</f>
        <v>383</v>
      </c>
      <c r="K195">
        <v>17.5</v>
      </c>
      <c r="L195">
        <v>1008</v>
      </c>
      <c r="M195">
        <v>1000</v>
      </c>
      <c r="N195" s="2">
        <v>46129</v>
      </c>
      <c r="O195" s="2">
        <v>46385</v>
      </c>
      <c r="P195" s="2">
        <v>46132</v>
      </c>
      <c r="Q195" t="s">
        <v>27</v>
      </c>
      <c r="R195">
        <v>8</v>
      </c>
      <c r="S195">
        <v>8.15</v>
      </c>
      <c r="T195" t="s">
        <v>39</v>
      </c>
      <c r="U195" t="s">
        <v>36</v>
      </c>
      <c r="V195" t="s">
        <v>329</v>
      </c>
      <c r="W195">
        <v>15</v>
      </c>
    </row>
    <row r="196" spans="1:23" x14ac:dyDescent="0.3">
      <c r="A196" t="s">
        <v>19</v>
      </c>
      <c r="B196" t="s">
        <v>17</v>
      </c>
      <c r="C196" t="s">
        <v>45</v>
      </c>
      <c r="D196">
        <f>E196+I196</f>
        <v>3</v>
      </c>
      <c r="E196">
        <v>1</v>
      </c>
      <c r="F196">
        <v>1100</v>
      </c>
      <c r="G196">
        <v>3</v>
      </c>
      <c r="H196">
        <v>900</v>
      </c>
      <c r="I196">
        <v>2</v>
      </c>
      <c r="J196">
        <v>20</v>
      </c>
      <c r="K196">
        <v>23</v>
      </c>
      <c r="M196">
        <v>1000</v>
      </c>
      <c r="N196" s="2">
        <v>46132</v>
      </c>
      <c r="O196" s="2">
        <v>46407</v>
      </c>
      <c r="P196" s="2">
        <v>46407</v>
      </c>
      <c r="Q196" t="s">
        <v>27</v>
      </c>
      <c r="R196">
        <v>7</v>
      </c>
      <c r="S196" t="s">
        <v>59</v>
      </c>
      <c r="T196" t="s">
        <v>39</v>
      </c>
      <c r="V196" t="s">
        <v>328</v>
      </c>
      <c r="W196">
        <v>15</v>
      </c>
    </row>
    <row r="197" spans="1:23" x14ac:dyDescent="0.3">
      <c r="A197" t="s">
        <v>28</v>
      </c>
      <c r="B197" t="s">
        <v>30</v>
      </c>
      <c r="C197" t="s">
        <v>45</v>
      </c>
      <c r="D197">
        <v>5</v>
      </c>
      <c r="E197">
        <v>5</v>
      </c>
      <c r="F197">
        <v>1007</v>
      </c>
      <c r="G197">
        <f>189+100+6</f>
        <v>295</v>
      </c>
      <c r="H197">
        <v>0</v>
      </c>
      <c r="I197">
        <v>0</v>
      </c>
      <c r="J197">
        <v>0</v>
      </c>
      <c r="K197">
        <v>14.28</v>
      </c>
      <c r="L197">
        <v>1000</v>
      </c>
      <c r="M197">
        <v>1000</v>
      </c>
      <c r="N197" s="2">
        <v>46134</v>
      </c>
      <c r="O197" s="2">
        <v>46317</v>
      </c>
      <c r="P197" s="2">
        <v>46134</v>
      </c>
      <c r="Q197" t="s">
        <v>27</v>
      </c>
      <c r="R197">
        <v>6</v>
      </c>
      <c r="S197">
        <v>5.09</v>
      </c>
      <c r="T197" t="s">
        <v>40</v>
      </c>
      <c r="U197" t="s">
        <v>202</v>
      </c>
      <c r="V197" t="s">
        <v>329</v>
      </c>
      <c r="W197">
        <v>15</v>
      </c>
    </row>
    <row r="198" spans="1:23" x14ac:dyDescent="0.3">
      <c r="A198" t="s">
        <v>18</v>
      </c>
      <c r="B198" t="s">
        <v>12</v>
      </c>
      <c r="C198" t="s">
        <v>45</v>
      </c>
      <c r="D198">
        <f>E198+I198</f>
        <v>4</v>
      </c>
      <c r="E198">
        <v>3</v>
      </c>
      <c r="F198">
        <v>1044.99</v>
      </c>
      <c r="G198">
        <f>2+4+45+2</f>
        <v>53</v>
      </c>
      <c r="H198">
        <v>1000</v>
      </c>
      <c r="I198">
        <v>1</v>
      </c>
      <c r="J198">
        <v>11</v>
      </c>
      <c r="K198">
        <v>22</v>
      </c>
      <c r="M198">
        <v>1000</v>
      </c>
      <c r="N198" s="2">
        <v>46134</v>
      </c>
      <c r="O198" s="2">
        <v>46409</v>
      </c>
      <c r="P198" s="2">
        <v>46409</v>
      </c>
      <c r="Q198" t="s">
        <v>27</v>
      </c>
      <c r="R198">
        <v>7</v>
      </c>
      <c r="S198" t="s">
        <v>59</v>
      </c>
      <c r="T198" t="s">
        <v>39</v>
      </c>
      <c r="V198" t="s">
        <v>328</v>
      </c>
      <c r="W198">
        <v>15</v>
      </c>
    </row>
    <row r="199" spans="1:23" x14ac:dyDescent="0.3">
      <c r="A199" t="s">
        <v>20</v>
      </c>
      <c r="B199" t="s">
        <v>21</v>
      </c>
      <c r="C199" t="s">
        <v>45</v>
      </c>
      <c r="D199">
        <f>E199+I199</f>
        <v>2</v>
      </c>
      <c r="E199">
        <v>1</v>
      </c>
      <c r="F199">
        <v>1100</v>
      </c>
      <c r="G199">
        <v>86</v>
      </c>
      <c r="H199">
        <v>1000</v>
      </c>
      <c r="I199">
        <v>1</v>
      </c>
      <c r="J199">
        <v>5</v>
      </c>
      <c r="K199">
        <v>22.01</v>
      </c>
      <c r="M199">
        <v>1000</v>
      </c>
      <c r="N199" s="2">
        <v>46142</v>
      </c>
      <c r="O199" s="2">
        <v>46233</v>
      </c>
      <c r="P199" s="2">
        <v>46233</v>
      </c>
      <c r="Q199" t="s">
        <v>27</v>
      </c>
      <c r="R199">
        <v>3</v>
      </c>
      <c r="S199" t="s">
        <v>59</v>
      </c>
      <c r="T199" t="s">
        <v>39</v>
      </c>
      <c r="V199" t="s">
        <v>328</v>
      </c>
      <c r="W199">
        <v>14.5</v>
      </c>
    </row>
    <row r="200" spans="1:23" x14ac:dyDescent="0.3">
      <c r="A200" t="s">
        <v>273</v>
      </c>
      <c r="B200" t="s">
        <v>274</v>
      </c>
      <c r="C200" t="s">
        <v>45</v>
      </c>
      <c r="D200">
        <v>40</v>
      </c>
      <c r="E200">
        <v>20</v>
      </c>
      <c r="F200">
        <v>1007</v>
      </c>
      <c r="G200">
        <f>54+19+103+12+3+2+1+1+15+5+105+7+82+6+6+75+5+13+2+4</f>
        <v>520</v>
      </c>
      <c r="H200">
        <v>1014.01</v>
      </c>
      <c r="I200">
        <v>20</v>
      </c>
      <c r="J200">
        <f>3+38+27+12+65+87+45+49+5+20+1+368+48+20+10+137+107+147+10+49</f>
        <v>1248</v>
      </c>
      <c r="K200">
        <v>19.25</v>
      </c>
      <c r="L200">
        <v>1012</v>
      </c>
      <c r="M200">
        <v>1000</v>
      </c>
      <c r="N200" s="2">
        <v>46133</v>
      </c>
      <c r="O200" s="2">
        <v>46499</v>
      </c>
      <c r="Q200" t="s">
        <v>27</v>
      </c>
      <c r="R200">
        <v>12</v>
      </c>
      <c r="S200">
        <v>19.25</v>
      </c>
      <c r="T200" t="s">
        <v>39</v>
      </c>
      <c r="U200" t="s">
        <v>169</v>
      </c>
      <c r="V200" t="s">
        <v>327</v>
      </c>
      <c r="W200">
        <v>15</v>
      </c>
    </row>
  </sheetData>
  <sortState xmlns:xlrd2="http://schemas.microsoft.com/office/spreadsheetml/2017/richdata2" ref="A2:W200">
    <sortCondition ref="N1:N2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2518-A719-4513-9464-291DB605ACD8}">
  <dimension ref="A1:W200"/>
  <sheetViews>
    <sheetView zoomScale="65" workbookViewId="0">
      <selection sqref="A1:W200"/>
    </sheetView>
  </sheetViews>
  <sheetFormatPr defaultRowHeight="14.4" x14ac:dyDescent="0.3"/>
  <cols>
    <col min="23" max="23" width="24" bestFit="1" customWidth="1"/>
  </cols>
  <sheetData>
    <row r="1" spans="1:23" x14ac:dyDescent="0.3">
      <c r="A1" t="s">
        <v>0</v>
      </c>
      <c r="B1" t="s">
        <v>1</v>
      </c>
      <c r="C1" t="s">
        <v>44</v>
      </c>
      <c r="D1" t="s">
        <v>2</v>
      </c>
      <c r="E1" t="s">
        <v>4</v>
      </c>
      <c r="F1" t="s">
        <v>100</v>
      </c>
      <c r="G1" t="s">
        <v>24</v>
      </c>
      <c r="H1" t="s">
        <v>101</v>
      </c>
      <c r="I1" t="s">
        <v>3</v>
      </c>
      <c r="J1" t="s">
        <v>25</v>
      </c>
      <c r="K1" t="s">
        <v>5</v>
      </c>
      <c r="L1" t="s">
        <v>31</v>
      </c>
      <c r="M1" t="s">
        <v>6</v>
      </c>
      <c r="N1" t="s">
        <v>53</v>
      </c>
      <c r="O1" t="s">
        <v>42</v>
      </c>
      <c r="P1" t="s">
        <v>43</v>
      </c>
      <c r="Q1" t="s">
        <v>26</v>
      </c>
      <c r="R1" t="s">
        <v>37</v>
      </c>
      <c r="S1" t="s">
        <v>48</v>
      </c>
      <c r="T1" t="s">
        <v>38</v>
      </c>
      <c r="U1" t="s">
        <v>32</v>
      </c>
      <c r="V1" t="s">
        <v>326</v>
      </c>
      <c r="W1" t="s">
        <v>330</v>
      </c>
    </row>
    <row r="2" spans="1:23" x14ac:dyDescent="0.3">
      <c r="A2" t="s">
        <v>29</v>
      </c>
      <c r="B2" t="s">
        <v>30</v>
      </c>
      <c r="C2" t="s">
        <v>45</v>
      </c>
      <c r="D2">
        <v>3</v>
      </c>
      <c r="E2">
        <v>3</v>
      </c>
      <c r="F2">
        <v>1000</v>
      </c>
      <c r="G2">
        <f>50+68+52</f>
        <v>170</v>
      </c>
      <c r="H2">
        <v>0</v>
      </c>
      <c r="I2">
        <v>0</v>
      </c>
      <c r="J2">
        <v>0</v>
      </c>
      <c r="K2">
        <v>14</v>
      </c>
      <c r="L2">
        <v>1001</v>
      </c>
      <c r="M2">
        <v>1000</v>
      </c>
      <c r="N2" s="2">
        <v>46100</v>
      </c>
      <c r="O2" s="2">
        <v>46464</v>
      </c>
      <c r="P2" s="2">
        <v>46100</v>
      </c>
      <c r="Q2" t="s">
        <v>27</v>
      </c>
      <c r="R2">
        <v>12</v>
      </c>
      <c r="S2">
        <v>18.03</v>
      </c>
      <c r="T2" t="s">
        <v>40</v>
      </c>
      <c r="U2" t="s">
        <v>33</v>
      </c>
      <c r="V2" t="s">
        <v>329</v>
      </c>
      <c r="W2">
        <v>15.5</v>
      </c>
    </row>
    <row r="3" spans="1:23" x14ac:dyDescent="0.3">
      <c r="A3" t="s">
        <v>28</v>
      </c>
      <c r="B3" t="s">
        <v>30</v>
      </c>
      <c r="C3" t="s">
        <v>45</v>
      </c>
      <c r="D3">
        <v>5</v>
      </c>
      <c r="E3">
        <v>5</v>
      </c>
      <c r="F3">
        <v>1007</v>
      </c>
      <c r="G3">
        <f>189+100+6</f>
        <v>295</v>
      </c>
      <c r="H3">
        <v>0</v>
      </c>
      <c r="I3">
        <v>0</v>
      </c>
      <c r="J3">
        <v>0</v>
      </c>
      <c r="K3">
        <v>14.28</v>
      </c>
      <c r="L3">
        <v>1000</v>
      </c>
      <c r="M3">
        <v>1000</v>
      </c>
      <c r="N3" s="2">
        <v>46134</v>
      </c>
      <c r="O3" s="2">
        <v>46317</v>
      </c>
      <c r="P3" s="2">
        <v>46134</v>
      </c>
      <c r="Q3" t="s">
        <v>27</v>
      </c>
      <c r="R3">
        <v>6</v>
      </c>
      <c r="S3">
        <v>5.09</v>
      </c>
      <c r="T3" t="s">
        <v>40</v>
      </c>
      <c r="U3" t="s">
        <v>33</v>
      </c>
      <c r="V3" t="s">
        <v>329</v>
      </c>
      <c r="W3">
        <v>15</v>
      </c>
    </row>
    <row r="4" spans="1:23" x14ac:dyDescent="0.3">
      <c r="A4" t="s">
        <v>34</v>
      </c>
      <c r="B4" t="s">
        <v>35</v>
      </c>
      <c r="C4" t="s">
        <v>45</v>
      </c>
      <c r="D4">
        <v>26</v>
      </c>
      <c r="E4">
        <v>9</v>
      </c>
      <c r="F4">
        <v>1008</v>
      </c>
      <c r="G4">
        <f>4+30+2+100+200+11+500+51</f>
        <v>898</v>
      </c>
      <c r="H4">
        <v>1014</v>
      </c>
      <c r="I4">
        <v>17</v>
      </c>
      <c r="J4">
        <f>20+2+50+10+91+1+3+5+7+60+50+1+3+1+20+59</f>
        <v>383</v>
      </c>
      <c r="K4">
        <v>17.5</v>
      </c>
      <c r="L4">
        <v>1008</v>
      </c>
      <c r="M4">
        <v>1000</v>
      </c>
      <c r="N4" s="2">
        <v>46129</v>
      </c>
      <c r="O4" s="2">
        <v>46385</v>
      </c>
      <c r="P4" s="2">
        <v>46132</v>
      </c>
      <c r="Q4" t="s">
        <v>27</v>
      </c>
      <c r="R4">
        <v>8</v>
      </c>
      <c r="S4">
        <v>8.15</v>
      </c>
      <c r="T4" t="s">
        <v>39</v>
      </c>
      <c r="U4" t="s">
        <v>36</v>
      </c>
      <c r="V4" t="s">
        <v>329</v>
      </c>
      <c r="W4">
        <v>15</v>
      </c>
    </row>
    <row r="5" spans="1:23" x14ac:dyDescent="0.3">
      <c r="A5" t="s">
        <v>41</v>
      </c>
      <c r="B5" t="s">
        <v>30</v>
      </c>
      <c r="C5" t="s">
        <v>45</v>
      </c>
      <c r="D5">
        <v>10</v>
      </c>
      <c r="E5">
        <v>7</v>
      </c>
      <c r="F5">
        <v>1006</v>
      </c>
      <c r="G5">
        <f>1+5+30+370+50+1000+15</f>
        <v>1471</v>
      </c>
      <c r="H5">
        <v>1025</v>
      </c>
      <c r="I5">
        <v>3</v>
      </c>
      <c r="J5">
        <f>1+6+343</f>
        <v>350</v>
      </c>
      <c r="K5">
        <v>14.5</v>
      </c>
      <c r="L5">
        <v>1015.5</v>
      </c>
      <c r="M5">
        <v>1000</v>
      </c>
      <c r="N5" s="2">
        <v>46128</v>
      </c>
      <c r="O5" s="2">
        <v>46218</v>
      </c>
      <c r="P5" s="2">
        <v>46128</v>
      </c>
      <c r="Q5" t="s">
        <v>27</v>
      </c>
      <c r="R5">
        <v>3</v>
      </c>
      <c r="S5">
        <v>7.55</v>
      </c>
      <c r="T5" t="s">
        <v>40</v>
      </c>
      <c r="U5" t="s">
        <v>33</v>
      </c>
      <c r="V5" t="s">
        <v>329</v>
      </c>
      <c r="W5">
        <v>15</v>
      </c>
    </row>
    <row r="6" spans="1:23" x14ac:dyDescent="0.3">
      <c r="A6" t="s">
        <v>46</v>
      </c>
      <c r="B6" t="s">
        <v>47</v>
      </c>
      <c r="C6" t="s">
        <v>45</v>
      </c>
      <c r="D6">
        <v>25</v>
      </c>
      <c r="E6">
        <v>8</v>
      </c>
      <c r="F6">
        <v>1000</v>
      </c>
      <c r="G6">
        <f>3+1+5+100+5+12+506+2</f>
        <v>634</v>
      </c>
      <c r="H6">
        <v>1015</v>
      </c>
      <c r="I6">
        <f>D6-E6</f>
        <v>17</v>
      </c>
      <c r="J6">
        <f>21+1000+54+15+1+1+3+5+10+50+2+21+20+2+1+97</f>
        <v>1303</v>
      </c>
      <c r="K6">
        <v>17.5</v>
      </c>
      <c r="L6">
        <v>1007.5</v>
      </c>
      <c r="M6">
        <v>1000</v>
      </c>
      <c r="N6" s="2">
        <v>46125</v>
      </c>
      <c r="O6" s="2">
        <v>46490</v>
      </c>
      <c r="P6" s="2">
        <v>46217</v>
      </c>
      <c r="Q6" t="s">
        <v>27</v>
      </c>
      <c r="R6">
        <v>12</v>
      </c>
      <c r="S6">
        <v>10.07</v>
      </c>
      <c r="T6" t="s">
        <v>39</v>
      </c>
      <c r="U6" t="s">
        <v>49</v>
      </c>
      <c r="V6" t="s">
        <v>329</v>
      </c>
    </row>
    <row r="7" spans="1:23" x14ac:dyDescent="0.3">
      <c r="A7" t="s">
        <v>50</v>
      </c>
      <c r="B7" t="s">
        <v>51</v>
      </c>
      <c r="C7" t="s">
        <v>45</v>
      </c>
      <c r="D7">
        <v>11</v>
      </c>
      <c r="E7">
        <v>4</v>
      </c>
      <c r="F7">
        <v>1010</v>
      </c>
      <c r="G7">
        <f>10+1775+250+236</f>
        <v>2271</v>
      </c>
      <c r="H7">
        <v>1062</v>
      </c>
      <c r="I7">
        <v>7</v>
      </c>
      <c r="J7">
        <f>1+160+2+10+102</f>
        <v>275</v>
      </c>
      <c r="K7">
        <v>20</v>
      </c>
      <c r="L7">
        <v>1011.5</v>
      </c>
      <c r="M7">
        <v>1000</v>
      </c>
      <c r="N7" s="2">
        <v>46114</v>
      </c>
      <c r="O7" s="2">
        <v>46479</v>
      </c>
      <c r="P7" s="2">
        <v>46115</v>
      </c>
      <c r="Q7" t="s">
        <v>27</v>
      </c>
      <c r="R7">
        <v>12</v>
      </c>
      <c r="S7">
        <v>17.53</v>
      </c>
      <c r="T7" t="s">
        <v>39</v>
      </c>
      <c r="V7" t="s">
        <v>329</v>
      </c>
    </row>
    <row r="8" spans="1:23" x14ac:dyDescent="0.3">
      <c r="A8" t="s">
        <v>52</v>
      </c>
      <c r="B8" t="s">
        <v>30</v>
      </c>
      <c r="C8" t="s">
        <v>45</v>
      </c>
      <c r="D8">
        <v>6</v>
      </c>
      <c r="E8">
        <v>6</v>
      </c>
      <c r="F8">
        <v>1011</v>
      </c>
      <c r="G8">
        <f>1+1+100+17+7</f>
        <v>126</v>
      </c>
      <c r="H8">
        <v>0</v>
      </c>
      <c r="I8">
        <v>0</v>
      </c>
      <c r="J8">
        <v>0</v>
      </c>
      <c r="K8">
        <v>14.2</v>
      </c>
      <c r="L8">
        <v>1011</v>
      </c>
      <c r="M8">
        <v>1000</v>
      </c>
      <c r="N8" s="2">
        <v>46114</v>
      </c>
      <c r="O8" s="2">
        <v>46296</v>
      </c>
      <c r="P8" s="2">
        <v>46114</v>
      </c>
      <c r="Q8" t="s">
        <v>27</v>
      </c>
      <c r="R8">
        <v>6</v>
      </c>
      <c r="S8">
        <v>12.84</v>
      </c>
      <c r="T8" t="s">
        <v>40</v>
      </c>
      <c r="U8" t="s">
        <v>33</v>
      </c>
      <c r="V8" t="s">
        <v>329</v>
      </c>
    </row>
    <row r="9" spans="1:23" x14ac:dyDescent="0.3">
      <c r="A9" t="s">
        <v>54</v>
      </c>
      <c r="B9" t="s">
        <v>30</v>
      </c>
      <c r="C9" t="s">
        <v>45</v>
      </c>
      <c r="D9">
        <v>6</v>
      </c>
      <c r="E9">
        <v>6</v>
      </c>
      <c r="F9">
        <v>1002</v>
      </c>
      <c r="G9">
        <f>52+3+69+70+51+5</f>
        <v>250</v>
      </c>
      <c r="H9">
        <v>0</v>
      </c>
      <c r="I9">
        <v>0</v>
      </c>
      <c r="J9">
        <v>0</v>
      </c>
      <c r="K9">
        <v>14.38</v>
      </c>
      <c r="L9">
        <v>1002</v>
      </c>
      <c r="M9">
        <v>1000</v>
      </c>
      <c r="N9" s="2">
        <v>46114</v>
      </c>
      <c r="O9" s="2">
        <v>46296</v>
      </c>
      <c r="P9" s="2">
        <v>46114</v>
      </c>
      <c r="Q9" t="s">
        <v>27</v>
      </c>
      <c r="R9">
        <v>6</v>
      </c>
      <c r="S9">
        <v>13</v>
      </c>
      <c r="T9" t="s">
        <v>40</v>
      </c>
      <c r="U9" t="s">
        <v>33</v>
      </c>
      <c r="V9" t="s">
        <v>329</v>
      </c>
    </row>
    <row r="10" spans="1:23" x14ac:dyDescent="0.3">
      <c r="A10" t="s">
        <v>55</v>
      </c>
      <c r="B10" t="s">
        <v>30</v>
      </c>
      <c r="C10" t="s">
        <v>45</v>
      </c>
      <c r="D10">
        <v>5</v>
      </c>
      <c r="E10">
        <v>5</v>
      </c>
      <c r="F10">
        <v>1200</v>
      </c>
      <c r="G10">
        <f>119+1+2+8+2</f>
        <v>132</v>
      </c>
      <c r="H10">
        <v>0</v>
      </c>
      <c r="I10">
        <v>0</v>
      </c>
      <c r="J10">
        <v>0</v>
      </c>
      <c r="K10">
        <v>14.67</v>
      </c>
      <c r="L10">
        <v>1010</v>
      </c>
      <c r="M10">
        <v>1000</v>
      </c>
      <c r="N10" s="2">
        <v>46113</v>
      </c>
      <c r="O10" s="2">
        <v>46204</v>
      </c>
      <c r="P10" s="2">
        <v>46113</v>
      </c>
      <c r="Q10" t="s">
        <v>27</v>
      </c>
      <c r="R10">
        <v>3</v>
      </c>
      <c r="S10">
        <v>13.67</v>
      </c>
      <c r="T10" t="s">
        <v>40</v>
      </c>
      <c r="U10" t="s">
        <v>33</v>
      </c>
      <c r="V10" t="s">
        <v>329</v>
      </c>
    </row>
    <row r="11" spans="1:23" x14ac:dyDescent="0.3">
      <c r="A11" t="s">
        <v>56</v>
      </c>
      <c r="B11" t="s">
        <v>57</v>
      </c>
      <c r="C11" t="s">
        <v>45</v>
      </c>
      <c r="D11">
        <v>30</v>
      </c>
      <c r="E11">
        <v>12</v>
      </c>
      <c r="F11">
        <v>1030</v>
      </c>
      <c r="G11">
        <f>71+1+31+36+22+500+50+865+2+52+56+38</f>
        <v>1724</v>
      </c>
      <c r="H11">
        <v>1080</v>
      </c>
      <c r="I11">
        <f>D11-E11</f>
        <v>18</v>
      </c>
      <c r="J11">
        <f>9+61+10+1+679+3+1+100+500+1000+1+100+1+200+1000+500+500+6</f>
        <v>4672</v>
      </c>
      <c r="K11">
        <v>21</v>
      </c>
      <c r="L11">
        <v>1054.5</v>
      </c>
      <c r="M11">
        <v>1000</v>
      </c>
      <c r="N11" s="2">
        <v>46112</v>
      </c>
      <c r="O11" s="2">
        <v>46477</v>
      </c>
      <c r="P11" s="2">
        <v>46113</v>
      </c>
      <c r="Q11" t="s">
        <v>27</v>
      </c>
      <c r="R11">
        <v>12</v>
      </c>
      <c r="S11">
        <v>2.2999999999999998</v>
      </c>
      <c r="T11" t="s">
        <v>39</v>
      </c>
      <c r="U11" t="s">
        <v>58</v>
      </c>
      <c r="V11" t="s">
        <v>329</v>
      </c>
    </row>
    <row r="12" spans="1:23" x14ac:dyDescent="0.3">
      <c r="A12" t="s">
        <v>60</v>
      </c>
      <c r="B12" t="s">
        <v>61</v>
      </c>
      <c r="C12" t="s">
        <v>45</v>
      </c>
      <c r="D12">
        <v>5</v>
      </c>
      <c r="E12">
        <v>5</v>
      </c>
      <c r="F12">
        <v>1102</v>
      </c>
      <c r="G12">
        <f>500+11+22+4</f>
        <v>537</v>
      </c>
      <c r="H12">
        <v>0</v>
      </c>
      <c r="I12">
        <v>0</v>
      </c>
      <c r="J12">
        <v>0</v>
      </c>
      <c r="K12">
        <v>18.75</v>
      </c>
      <c r="L12">
        <v>1100</v>
      </c>
      <c r="M12">
        <v>1000</v>
      </c>
      <c r="N12" s="2">
        <v>46111</v>
      </c>
      <c r="O12" s="2">
        <v>46386</v>
      </c>
      <c r="P12" s="2">
        <v>46112</v>
      </c>
      <c r="Q12" t="s">
        <v>27</v>
      </c>
      <c r="R12">
        <v>9</v>
      </c>
      <c r="S12">
        <v>2.0499999999999998</v>
      </c>
      <c r="T12" t="s">
        <v>39</v>
      </c>
      <c r="V12" t="s">
        <v>329</v>
      </c>
    </row>
    <row r="13" spans="1:23" x14ac:dyDescent="0.3">
      <c r="A13" t="s">
        <v>62</v>
      </c>
      <c r="B13" t="s">
        <v>63</v>
      </c>
      <c r="C13" t="s">
        <v>45</v>
      </c>
      <c r="D13">
        <v>5</v>
      </c>
      <c r="E13">
        <v>5</v>
      </c>
      <c r="F13">
        <v>1015</v>
      </c>
      <c r="G13">
        <f>100+210+8+1+3</f>
        <v>322</v>
      </c>
      <c r="H13">
        <v>0</v>
      </c>
      <c r="I13">
        <v>0</v>
      </c>
      <c r="J13">
        <v>0</v>
      </c>
      <c r="K13">
        <v>18.600000000000001</v>
      </c>
      <c r="L13">
        <v>1015</v>
      </c>
      <c r="M13">
        <v>1000</v>
      </c>
      <c r="N13" s="2">
        <v>46108</v>
      </c>
      <c r="O13" s="2">
        <v>46290</v>
      </c>
      <c r="P13" s="2">
        <v>46111</v>
      </c>
      <c r="Q13" t="s">
        <v>27</v>
      </c>
      <c r="R13">
        <v>6</v>
      </c>
      <c r="S13" s="4">
        <v>3.57</v>
      </c>
      <c r="T13" t="s">
        <v>39</v>
      </c>
      <c r="V13" t="s">
        <v>329</v>
      </c>
    </row>
    <row r="14" spans="1:23" x14ac:dyDescent="0.3">
      <c r="A14" t="s">
        <v>64</v>
      </c>
      <c r="B14" t="s">
        <v>65</v>
      </c>
      <c r="C14" t="s">
        <v>45</v>
      </c>
      <c r="D14">
        <v>16</v>
      </c>
      <c r="E14">
        <v>9</v>
      </c>
      <c r="F14">
        <v>1010</v>
      </c>
      <c r="G14">
        <f>1+500+30+6+100+30+1+5+4</f>
        <v>677</v>
      </c>
      <c r="H14">
        <v>1049</v>
      </c>
      <c r="I14">
        <f>D14-E14</f>
        <v>7</v>
      </c>
      <c r="J14">
        <f>27+50+10+5+3+1+20</f>
        <v>116</v>
      </c>
      <c r="K14">
        <v>18</v>
      </c>
      <c r="L14">
        <v>1030</v>
      </c>
      <c r="M14">
        <v>1000</v>
      </c>
      <c r="N14" s="2">
        <v>46107</v>
      </c>
      <c r="O14" s="2">
        <v>46472</v>
      </c>
      <c r="P14" s="2">
        <v>46108</v>
      </c>
      <c r="Q14" t="s">
        <v>27</v>
      </c>
      <c r="R14">
        <v>12</v>
      </c>
      <c r="S14">
        <v>3.45</v>
      </c>
      <c r="T14" t="s">
        <v>39</v>
      </c>
      <c r="V14" t="s">
        <v>329</v>
      </c>
    </row>
    <row r="15" spans="1:23" x14ac:dyDescent="0.3">
      <c r="A15" t="s">
        <v>66</v>
      </c>
      <c r="B15" t="s">
        <v>67</v>
      </c>
      <c r="C15" t="s">
        <v>45</v>
      </c>
      <c r="D15">
        <v>18</v>
      </c>
      <c r="E15">
        <v>7</v>
      </c>
      <c r="F15">
        <v>1005</v>
      </c>
      <c r="G15">
        <f>10+496+100+53+34+100+250</f>
        <v>1043</v>
      </c>
      <c r="H15">
        <v>1007</v>
      </c>
      <c r="I15">
        <f>D15-E15</f>
        <v>11</v>
      </c>
      <c r="J15">
        <f>5+20+200+39+50+10+5+3+1+5+10</f>
        <v>348</v>
      </c>
      <c r="K15">
        <v>17.25</v>
      </c>
      <c r="L15">
        <v>1007.5</v>
      </c>
      <c r="M15">
        <v>1000</v>
      </c>
      <c r="N15" s="2">
        <v>46104</v>
      </c>
      <c r="O15" s="2">
        <v>46464</v>
      </c>
      <c r="P15" s="2">
        <v>46105</v>
      </c>
      <c r="Q15" t="s">
        <v>27</v>
      </c>
      <c r="R15">
        <v>12</v>
      </c>
      <c r="S15">
        <v>5.2</v>
      </c>
      <c r="T15" t="s">
        <v>39</v>
      </c>
      <c r="U15" t="s">
        <v>90</v>
      </c>
      <c r="V15" t="s">
        <v>329</v>
      </c>
    </row>
    <row r="16" spans="1:23" x14ac:dyDescent="0.3">
      <c r="A16" t="s">
        <v>69</v>
      </c>
      <c r="B16" t="s">
        <v>30</v>
      </c>
      <c r="C16" t="s">
        <v>45</v>
      </c>
      <c r="D16">
        <v>12</v>
      </c>
      <c r="E16">
        <v>12</v>
      </c>
      <c r="F16">
        <v>1150</v>
      </c>
      <c r="G16">
        <f>2023+255+20+287+48+50+2+10+1+4+3+42</f>
        <v>2745</v>
      </c>
      <c r="H16">
        <v>0</v>
      </c>
      <c r="I16">
        <v>0</v>
      </c>
      <c r="J16">
        <v>0</v>
      </c>
      <c r="K16">
        <v>20</v>
      </c>
      <c r="L16">
        <v>1150</v>
      </c>
      <c r="M16">
        <v>1000</v>
      </c>
      <c r="N16" s="2">
        <v>46102</v>
      </c>
      <c r="O16" s="2">
        <v>46192</v>
      </c>
      <c r="P16" s="2">
        <v>46104</v>
      </c>
      <c r="Q16" t="s">
        <v>27</v>
      </c>
      <c r="R16">
        <v>3</v>
      </c>
      <c r="S16">
        <v>24.66</v>
      </c>
      <c r="T16" t="s">
        <v>40</v>
      </c>
      <c r="U16" t="s">
        <v>33</v>
      </c>
      <c r="V16" t="s">
        <v>329</v>
      </c>
    </row>
    <row r="17" spans="1:22" x14ac:dyDescent="0.3">
      <c r="A17" t="s">
        <v>70</v>
      </c>
      <c r="B17" t="s">
        <v>30</v>
      </c>
      <c r="C17" t="s">
        <v>45</v>
      </c>
      <c r="D17">
        <v>9</v>
      </c>
      <c r="E17">
        <v>9</v>
      </c>
      <c r="F17">
        <v>1005</v>
      </c>
      <c r="G17">
        <f>2+1+200+11+10+2+52+5+1</f>
        <v>284</v>
      </c>
      <c r="H17">
        <v>0</v>
      </c>
      <c r="I17">
        <v>0</v>
      </c>
      <c r="J17">
        <v>0</v>
      </c>
      <c r="K17">
        <v>15.1</v>
      </c>
      <c r="L17">
        <v>1005</v>
      </c>
      <c r="M17">
        <v>1000</v>
      </c>
      <c r="N17" s="2">
        <v>46102</v>
      </c>
      <c r="O17" s="2">
        <v>46195</v>
      </c>
      <c r="P17" s="2">
        <v>46104</v>
      </c>
      <c r="Q17" t="s">
        <v>27</v>
      </c>
      <c r="R17">
        <v>3</v>
      </c>
      <c r="S17">
        <v>18.62</v>
      </c>
      <c r="T17" t="s">
        <v>40</v>
      </c>
      <c r="U17" t="s">
        <v>33</v>
      </c>
      <c r="V17" t="s">
        <v>329</v>
      </c>
    </row>
    <row r="18" spans="1:22" x14ac:dyDescent="0.3">
      <c r="A18" t="s">
        <v>71</v>
      </c>
      <c r="B18" t="s">
        <v>30</v>
      </c>
      <c r="C18" t="s">
        <v>45</v>
      </c>
      <c r="D18">
        <v>3</v>
      </c>
      <c r="E18">
        <v>3</v>
      </c>
      <c r="F18">
        <v>1000</v>
      </c>
      <c r="G18">
        <v>103</v>
      </c>
      <c r="H18">
        <v>0</v>
      </c>
      <c r="I18">
        <v>0</v>
      </c>
      <c r="J18">
        <v>0</v>
      </c>
      <c r="K18">
        <v>14.2</v>
      </c>
      <c r="L18">
        <v>1000</v>
      </c>
      <c r="M18">
        <v>1000</v>
      </c>
      <c r="N18" s="2">
        <v>46100</v>
      </c>
      <c r="O18" s="2">
        <v>46464</v>
      </c>
      <c r="P18" s="2">
        <v>46100</v>
      </c>
      <c r="Q18" t="s">
        <v>27</v>
      </c>
      <c r="R18">
        <v>12</v>
      </c>
      <c r="S18">
        <v>18.28</v>
      </c>
      <c r="T18" t="s">
        <v>40</v>
      </c>
      <c r="U18" t="s">
        <v>33</v>
      </c>
      <c r="V18" t="s">
        <v>329</v>
      </c>
    </row>
    <row r="19" spans="1:22" x14ac:dyDescent="0.3">
      <c r="A19" t="s">
        <v>72</v>
      </c>
      <c r="B19" t="s">
        <v>30</v>
      </c>
      <c r="C19" t="s">
        <v>45</v>
      </c>
      <c r="D19">
        <v>3</v>
      </c>
      <c r="E19">
        <v>3</v>
      </c>
      <c r="F19">
        <v>1002</v>
      </c>
      <c r="G19">
        <v>66</v>
      </c>
      <c r="H19">
        <v>0</v>
      </c>
      <c r="I19">
        <v>0</v>
      </c>
      <c r="J19">
        <v>0</v>
      </c>
      <c r="K19">
        <v>14.9</v>
      </c>
      <c r="L19">
        <v>1002</v>
      </c>
      <c r="M19">
        <v>1000</v>
      </c>
      <c r="N19" s="2">
        <v>46100</v>
      </c>
      <c r="O19" s="2">
        <v>46191</v>
      </c>
      <c r="P19" s="2">
        <v>46100</v>
      </c>
      <c r="Q19" t="s">
        <v>27</v>
      </c>
      <c r="R19">
        <v>3</v>
      </c>
      <c r="S19">
        <v>19.190000000000001</v>
      </c>
      <c r="T19" t="s">
        <v>40</v>
      </c>
      <c r="U19" t="s">
        <v>33</v>
      </c>
      <c r="V19" t="s">
        <v>329</v>
      </c>
    </row>
    <row r="20" spans="1:22" x14ac:dyDescent="0.3">
      <c r="A20" t="s">
        <v>73</v>
      </c>
      <c r="B20" t="s">
        <v>30</v>
      </c>
      <c r="C20" t="s">
        <v>45</v>
      </c>
      <c r="D20">
        <v>2</v>
      </c>
      <c r="E20">
        <v>1</v>
      </c>
      <c r="F20">
        <v>960</v>
      </c>
      <c r="G20">
        <v>50</v>
      </c>
      <c r="H20">
        <v>1199</v>
      </c>
      <c r="I20">
        <v>1</v>
      </c>
      <c r="J20">
        <v>3</v>
      </c>
      <c r="K20">
        <v>14</v>
      </c>
      <c r="L20">
        <v>1079.5</v>
      </c>
      <c r="M20">
        <v>1000</v>
      </c>
      <c r="N20" s="2">
        <v>46100</v>
      </c>
      <c r="O20" s="2">
        <v>46464</v>
      </c>
      <c r="P20" s="2">
        <v>46100</v>
      </c>
      <c r="Q20" t="s">
        <v>27</v>
      </c>
      <c r="R20">
        <v>12</v>
      </c>
      <c r="S20">
        <v>18.03</v>
      </c>
      <c r="T20" t="s">
        <v>40</v>
      </c>
      <c r="U20" t="s">
        <v>33</v>
      </c>
      <c r="V20" t="s">
        <v>329</v>
      </c>
    </row>
    <row r="21" spans="1:22" x14ac:dyDescent="0.3">
      <c r="A21" t="s">
        <v>74</v>
      </c>
      <c r="B21" t="s">
        <v>30</v>
      </c>
      <c r="C21" t="s">
        <v>45</v>
      </c>
      <c r="D21">
        <v>9</v>
      </c>
      <c r="E21">
        <v>9</v>
      </c>
      <c r="F21">
        <v>1000</v>
      </c>
      <c r="G21">
        <f>4+50+6+4+1+5+5+36+100</f>
        <v>211</v>
      </c>
      <c r="H21">
        <v>0</v>
      </c>
      <c r="I21">
        <v>0</v>
      </c>
      <c r="J21">
        <v>0</v>
      </c>
      <c r="K21">
        <v>14.5</v>
      </c>
      <c r="L21">
        <v>858</v>
      </c>
      <c r="M21">
        <v>1000</v>
      </c>
      <c r="N21" s="2">
        <v>46100</v>
      </c>
      <c r="O21" s="2">
        <v>46098</v>
      </c>
      <c r="P21" s="2">
        <v>46100</v>
      </c>
      <c r="Q21" t="s">
        <v>27</v>
      </c>
      <c r="R21">
        <v>24</v>
      </c>
      <c r="S21">
        <v>18.670000000000002</v>
      </c>
      <c r="T21" t="s">
        <v>40</v>
      </c>
      <c r="U21" t="s">
        <v>33</v>
      </c>
      <c r="V21" t="s">
        <v>329</v>
      </c>
    </row>
    <row r="22" spans="1:22" x14ac:dyDescent="0.3">
      <c r="A22" t="s">
        <v>75</v>
      </c>
      <c r="B22" t="s">
        <v>30</v>
      </c>
      <c r="C22" t="s">
        <v>45</v>
      </c>
      <c r="D22">
        <v>2</v>
      </c>
      <c r="E22">
        <v>2</v>
      </c>
      <c r="F22">
        <v>1001</v>
      </c>
      <c r="G22">
        <f>129+5</f>
        <v>134</v>
      </c>
      <c r="H22">
        <v>0</v>
      </c>
      <c r="I22">
        <v>0</v>
      </c>
      <c r="J22">
        <v>0</v>
      </c>
      <c r="K22">
        <v>15</v>
      </c>
      <c r="L22">
        <v>1001</v>
      </c>
      <c r="M22">
        <v>1000</v>
      </c>
      <c r="N22" s="2">
        <v>46100</v>
      </c>
      <c r="O22" s="2">
        <v>46283</v>
      </c>
      <c r="P22" s="2">
        <v>46100</v>
      </c>
      <c r="Q22" t="s">
        <v>27</v>
      </c>
      <c r="R22">
        <v>6</v>
      </c>
      <c r="S22">
        <v>19.32</v>
      </c>
      <c r="T22" t="s">
        <v>40</v>
      </c>
      <c r="U22" t="s">
        <v>33</v>
      </c>
      <c r="V22" t="s">
        <v>329</v>
      </c>
    </row>
    <row r="23" spans="1:22" x14ac:dyDescent="0.3">
      <c r="A23" t="s">
        <v>76</v>
      </c>
      <c r="B23" t="s">
        <v>30</v>
      </c>
      <c r="C23" t="s">
        <v>45</v>
      </c>
      <c r="D23">
        <v>2</v>
      </c>
      <c r="E23">
        <v>2</v>
      </c>
      <c r="F23">
        <v>1000</v>
      </c>
      <c r="G23">
        <v>101</v>
      </c>
      <c r="H23">
        <v>0</v>
      </c>
      <c r="I23">
        <v>0</v>
      </c>
      <c r="J23">
        <v>0</v>
      </c>
      <c r="K23">
        <v>14.3</v>
      </c>
      <c r="L23">
        <v>1000</v>
      </c>
      <c r="M23">
        <v>1000</v>
      </c>
      <c r="N23" s="2">
        <v>46100</v>
      </c>
      <c r="O23" s="2">
        <v>46650</v>
      </c>
      <c r="P23" s="2">
        <v>46100</v>
      </c>
      <c r="Q23" t="s">
        <v>27</v>
      </c>
      <c r="R23">
        <v>18</v>
      </c>
      <c r="S23">
        <v>18.41</v>
      </c>
      <c r="T23" t="s">
        <v>40</v>
      </c>
      <c r="U23" t="s">
        <v>33</v>
      </c>
      <c r="V23" t="s">
        <v>329</v>
      </c>
    </row>
    <row r="24" spans="1:22" x14ac:dyDescent="0.3">
      <c r="A24" t="s">
        <v>77</v>
      </c>
      <c r="B24" t="s">
        <v>30</v>
      </c>
      <c r="C24" t="s">
        <v>45</v>
      </c>
      <c r="D24">
        <v>3</v>
      </c>
      <c r="E24">
        <v>2</v>
      </c>
      <c r="F24">
        <v>990</v>
      </c>
      <c r="G24">
        <v>150</v>
      </c>
      <c r="H24">
        <v>1199</v>
      </c>
      <c r="I24">
        <v>1</v>
      </c>
      <c r="J24">
        <v>8</v>
      </c>
      <c r="K24">
        <v>14.7</v>
      </c>
      <c r="L24">
        <v>1099.5</v>
      </c>
      <c r="M24">
        <v>1000</v>
      </c>
      <c r="N24" s="2">
        <v>46100</v>
      </c>
      <c r="O24" s="2">
        <v>46283</v>
      </c>
      <c r="P24" s="2">
        <v>46100</v>
      </c>
      <c r="Q24" t="s">
        <v>27</v>
      </c>
      <c r="R24">
        <v>6</v>
      </c>
      <c r="S24">
        <v>18.93</v>
      </c>
      <c r="T24" t="s">
        <v>40</v>
      </c>
      <c r="U24" t="s">
        <v>33</v>
      </c>
      <c r="V24" t="s">
        <v>329</v>
      </c>
    </row>
    <row r="25" spans="1:22" x14ac:dyDescent="0.3">
      <c r="A25" t="s">
        <v>78</v>
      </c>
      <c r="B25" t="s">
        <v>30</v>
      </c>
      <c r="C25" t="s">
        <v>45</v>
      </c>
      <c r="D25">
        <v>4</v>
      </c>
      <c r="E25">
        <v>2</v>
      </c>
      <c r="F25">
        <v>1001</v>
      </c>
      <c r="G25">
        <v>1100</v>
      </c>
      <c r="H25">
        <v>1070</v>
      </c>
      <c r="I25">
        <v>3</v>
      </c>
      <c r="J25">
        <v>15</v>
      </c>
      <c r="K25">
        <v>14.9</v>
      </c>
      <c r="L25">
        <v>1048</v>
      </c>
      <c r="M25">
        <v>1000</v>
      </c>
      <c r="N25" s="2">
        <v>46100</v>
      </c>
      <c r="O25" s="2">
        <v>46191</v>
      </c>
      <c r="P25" s="2">
        <v>46100</v>
      </c>
      <c r="Q25" t="s">
        <v>27</v>
      </c>
      <c r="R25">
        <v>3</v>
      </c>
      <c r="S25">
        <v>19.190000000000001</v>
      </c>
      <c r="T25" t="s">
        <v>40</v>
      </c>
      <c r="U25" t="s">
        <v>33</v>
      </c>
      <c r="V25" t="s">
        <v>329</v>
      </c>
    </row>
    <row r="26" spans="1:22" x14ac:dyDescent="0.3">
      <c r="A26" t="s">
        <v>79</v>
      </c>
      <c r="B26" t="s">
        <v>30</v>
      </c>
      <c r="C26" t="s">
        <v>45</v>
      </c>
      <c r="D26">
        <v>2</v>
      </c>
      <c r="E26">
        <v>4</v>
      </c>
      <c r="F26">
        <v>1021</v>
      </c>
      <c r="G26">
        <f>20+1+3+100</f>
        <v>124</v>
      </c>
      <c r="H26">
        <v>0</v>
      </c>
      <c r="I26">
        <v>0</v>
      </c>
      <c r="J26">
        <v>0</v>
      </c>
      <c r="K26">
        <v>15</v>
      </c>
      <c r="L26">
        <v>1010</v>
      </c>
      <c r="M26">
        <v>1000</v>
      </c>
      <c r="N26" s="2">
        <v>46100</v>
      </c>
      <c r="O26" s="2">
        <v>46100</v>
      </c>
      <c r="P26" s="2">
        <v>46100</v>
      </c>
      <c r="Q26" t="s">
        <v>27</v>
      </c>
      <c r="R26">
        <v>36</v>
      </c>
      <c r="S26">
        <v>19.32</v>
      </c>
      <c r="T26" t="s">
        <v>40</v>
      </c>
      <c r="U26" t="s">
        <v>33</v>
      </c>
      <c r="V26" t="s">
        <v>329</v>
      </c>
    </row>
    <row r="27" spans="1:22" x14ac:dyDescent="0.3">
      <c r="A27" t="s">
        <v>80</v>
      </c>
      <c r="B27" t="s">
        <v>30</v>
      </c>
      <c r="C27" t="s">
        <v>45</v>
      </c>
      <c r="D27">
        <v>5</v>
      </c>
      <c r="E27">
        <v>4</v>
      </c>
      <c r="F27">
        <v>1002</v>
      </c>
      <c r="G27">
        <f>344+200+1+50</f>
        <v>595</v>
      </c>
      <c r="H27">
        <v>1050</v>
      </c>
      <c r="I27">
        <v>1</v>
      </c>
      <c r="J27">
        <v>39</v>
      </c>
      <c r="K27">
        <v>15</v>
      </c>
      <c r="L27">
        <v>1022</v>
      </c>
      <c r="M27">
        <v>1000</v>
      </c>
      <c r="N27" s="2">
        <v>46100</v>
      </c>
      <c r="O27" s="2">
        <v>46100</v>
      </c>
      <c r="P27" s="2">
        <v>46100</v>
      </c>
      <c r="Q27" t="s">
        <v>27</v>
      </c>
      <c r="R27">
        <v>36</v>
      </c>
      <c r="S27">
        <v>19.32</v>
      </c>
      <c r="T27" t="s">
        <v>40</v>
      </c>
      <c r="U27" t="s">
        <v>33</v>
      </c>
      <c r="V27" t="s">
        <v>329</v>
      </c>
    </row>
    <row r="28" spans="1:22" x14ac:dyDescent="0.3">
      <c r="A28" t="s">
        <v>81</v>
      </c>
      <c r="B28" t="s">
        <v>30</v>
      </c>
      <c r="C28" t="s">
        <v>45</v>
      </c>
      <c r="D28">
        <v>1</v>
      </c>
      <c r="E28">
        <v>1</v>
      </c>
      <c r="F28">
        <v>1000</v>
      </c>
      <c r="G28">
        <v>102</v>
      </c>
      <c r="H28">
        <v>0</v>
      </c>
      <c r="I28">
        <v>0</v>
      </c>
      <c r="J28">
        <v>0</v>
      </c>
      <c r="K28">
        <v>14.7</v>
      </c>
      <c r="L28">
        <v>1000</v>
      </c>
      <c r="M28">
        <v>1000</v>
      </c>
      <c r="N28" s="2">
        <v>46100</v>
      </c>
      <c r="O28" s="2">
        <v>46313</v>
      </c>
      <c r="P28" s="2">
        <v>46100</v>
      </c>
      <c r="Q28" t="s">
        <v>27</v>
      </c>
      <c r="R28">
        <v>6</v>
      </c>
      <c r="S28">
        <v>18.93</v>
      </c>
      <c r="T28" t="s">
        <v>40</v>
      </c>
      <c r="U28" t="s">
        <v>33</v>
      </c>
      <c r="V28" t="s">
        <v>329</v>
      </c>
    </row>
    <row r="29" spans="1:22" x14ac:dyDescent="0.3">
      <c r="A29" t="s">
        <v>83</v>
      </c>
      <c r="B29" t="s">
        <v>30</v>
      </c>
      <c r="C29" t="s">
        <v>45</v>
      </c>
      <c r="D29">
        <v>2</v>
      </c>
      <c r="E29">
        <v>2</v>
      </c>
      <c r="F29">
        <v>1001</v>
      </c>
      <c r="G29">
        <v>128</v>
      </c>
      <c r="H29">
        <v>0</v>
      </c>
      <c r="I29">
        <v>0</v>
      </c>
      <c r="J29">
        <v>0</v>
      </c>
      <c r="K29">
        <v>15</v>
      </c>
      <c r="L29">
        <v>1001</v>
      </c>
      <c r="M29">
        <v>1000</v>
      </c>
      <c r="N29" s="2">
        <v>46100</v>
      </c>
      <c r="O29" s="2">
        <v>46191</v>
      </c>
      <c r="P29" s="2">
        <v>46100</v>
      </c>
      <c r="Q29" t="s">
        <v>27</v>
      </c>
      <c r="R29">
        <v>3</v>
      </c>
      <c r="S29">
        <v>19.32</v>
      </c>
      <c r="T29" t="s">
        <v>40</v>
      </c>
      <c r="U29" t="s">
        <v>33</v>
      </c>
      <c r="V29" t="s">
        <v>329</v>
      </c>
    </row>
    <row r="30" spans="1:22" x14ac:dyDescent="0.3">
      <c r="A30" t="s">
        <v>84</v>
      </c>
      <c r="B30" t="s">
        <v>30</v>
      </c>
      <c r="C30" t="s">
        <v>45</v>
      </c>
      <c r="D30">
        <v>1</v>
      </c>
      <c r="E30">
        <v>1</v>
      </c>
      <c r="F30">
        <v>1001</v>
      </c>
      <c r="G30">
        <v>98</v>
      </c>
      <c r="H30">
        <v>0</v>
      </c>
      <c r="I30">
        <v>0</v>
      </c>
      <c r="J30">
        <v>0</v>
      </c>
      <c r="K30">
        <v>15.1</v>
      </c>
      <c r="L30">
        <v>1000</v>
      </c>
      <c r="M30">
        <v>1000</v>
      </c>
      <c r="N30" s="2">
        <v>46100</v>
      </c>
      <c r="O30" s="2">
        <v>46191</v>
      </c>
      <c r="P30" s="2">
        <v>46100</v>
      </c>
      <c r="Q30" t="s">
        <v>27</v>
      </c>
      <c r="R30">
        <v>3</v>
      </c>
      <c r="S30">
        <v>19.440000000000001</v>
      </c>
      <c r="T30" t="s">
        <v>40</v>
      </c>
      <c r="U30" t="s">
        <v>33</v>
      </c>
      <c r="V30" t="s">
        <v>329</v>
      </c>
    </row>
    <row r="31" spans="1:22" x14ac:dyDescent="0.3">
      <c r="A31" t="s">
        <v>85</v>
      </c>
      <c r="B31" t="s">
        <v>86</v>
      </c>
      <c r="C31" t="s">
        <v>45</v>
      </c>
      <c r="D31">
        <v>8</v>
      </c>
      <c r="E31">
        <v>7</v>
      </c>
      <c r="F31">
        <v>1001</v>
      </c>
      <c r="G31">
        <f>200+1000+32+50+180+101+3</f>
        <v>1566</v>
      </c>
      <c r="H31">
        <v>1017</v>
      </c>
      <c r="I31">
        <v>1</v>
      </c>
      <c r="J31">
        <v>139</v>
      </c>
      <c r="K31">
        <v>16.25</v>
      </c>
      <c r="L31">
        <v>1009</v>
      </c>
      <c r="M31">
        <v>1000</v>
      </c>
      <c r="N31" s="2">
        <v>46098</v>
      </c>
      <c r="O31" s="2">
        <v>46190</v>
      </c>
      <c r="P31" s="2">
        <v>46099</v>
      </c>
      <c r="Q31" t="s">
        <v>27</v>
      </c>
      <c r="R31">
        <v>3</v>
      </c>
      <c r="S31">
        <v>7.57</v>
      </c>
      <c r="T31" t="s">
        <v>39</v>
      </c>
      <c r="U31" t="s">
        <v>87</v>
      </c>
      <c r="V31" t="s">
        <v>329</v>
      </c>
    </row>
    <row r="32" spans="1:22" x14ac:dyDescent="0.3">
      <c r="A32" t="s">
        <v>88</v>
      </c>
      <c r="B32" t="s">
        <v>89</v>
      </c>
      <c r="C32" t="s">
        <v>45</v>
      </c>
      <c r="D32">
        <v>14</v>
      </c>
      <c r="E32">
        <v>12</v>
      </c>
      <c r="F32">
        <v>1020</v>
      </c>
      <c r="G32">
        <f>6+100+38+79+1+20+5+500+100+30+500+200</f>
        <v>1579</v>
      </c>
      <c r="H32">
        <v>1100</v>
      </c>
      <c r="I32">
        <v>2</v>
      </c>
      <c r="J32">
        <v>8</v>
      </c>
      <c r="K32">
        <v>18.5</v>
      </c>
      <c r="L32">
        <v>1010</v>
      </c>
      <c r="M32">
        <v>1000</v>
      </c>
      <c r="N32" s="2">
        <v>46098</v>
      </c>
      <c r="O32" s="2">
        <v>46463</v>
      </c>
      <c r="P32" s="2">
        <v>46099</v>
      </c>
      <c r="Q32" t="s">
        <v>27</v>
      </c>
      <c r="R32">
        <v>12</v>
      </c>
      <c r="S32">
        <v>8.6199999999999992</v>
      </c>
      <c r="T32" t="s">
        <v>39</v>
      </c>
      <c r="U32" t="s">
        <v>90</v>
      </c>
      <c r="V32" t="s">
        <v>329</v>
      </c>
    </row>
    <row r="33" spans="1:22" x14ac:dyDescent="0.3">
      <c r="A33" t="s">
        <v>91</v>
      </c>
      <c r="B33" t="s">
        <v>92</v>
      </c>
      <c r="C33" t="s">
        <v>45</v>
      </c>
      <c r="D33">
        <v>18</v>
      </c>
      <c r="E33">
        <v>10</v>
      </c>
      <c r="F33">
        <v>1030</v>
      </c>
      <c r="G33">
        <f>4+295+976+1000+1052+15+100+30+50+200</f>
        <v>3722</v>
      </c>
      <c r="H33">
        <v>1050</v>
      </c>
      <c r="I33">
        <v>8</v>
      </c>
      <c r="J33">
        <f>10+40+2+5+5+5+43+61</f>
        <v>171</v>
      </c>
      <c r="K33">
        <v>17.25</v>
      </c>
      <c r="L33">
        <v>1032</v>
      </c>
      <c r="M33">
        <v>1000</v>
      </c>
      <c r="N33" s="2">
        <v>46098</v>
      </c>
      <c r="O33" s="2">
        <v>46677</v>
      </c>
      <c r="P33" s="2">
        <v>46099</v>
      </c>
      <c r="Q33" t="s">
        <v>27</v>
      </c>
      <c r="R33">
        <v>18</v>
      </c>
      <c r="S33">
        <v>8.0299999999999994</v>
      </c>
      <c r="T33" t="s">
        <v>39</v>
      </c>
      <c r="V33" t="s">
        <v>329</v>
      </c>
    </row>
    <row r="34" spans="1:22" x14ac:dyDescent="0.3">
      <c r="A34" t="s">
        <v>82</v>
      </c>
      <c r="B34" t="s">
        <v>30</v>
      </c>
      <c r="C34" t="s">
        <v>45</v>
      </c>
      <c r="D34">
        <v>4</v>
      </c>
      <c r="E34">
        <v>4</v>
      </c>
      <c r="F34">
        <v>1024</v>
      </c>
      <c r="G34">
        <f>101+288+110+2</f>
        <v>501</v>
      </c>
      <c r="H34">
        <v>0</v>
      </c>
      <c r="I34">
        <v>0</v>
      </c>
      <c r="J34">
        <v>0</v>
      </c>
      <c r="K34">
        <v>20</v>
      </c>
      <c r="L34">
        <v>1023</v>
      </c>
      <c r="M34">
        <v>1000</v>
      </c>
      <c r="N34" s="2">
        <v>46098</v>
      </c>
      <c r="O34" s="2">
        <v>46189</v>
      </c>
      <c r="P34" s="2">
        <v>46098</v>
      </c>
      <c r="Q34" t="s">
        <v>27</v>
      </c>
      <c r="R34">
        <v>3</v>
      </c>
      <c r="S34">
        <v>26.85</v>
      </c>
      <c r="T34" t="s">
        <v>40</v>
      </c>
      <c r="U34" t="s">
        <v>33</v>
      </c>
      <c r="V34" t="s">
        <v>329</v>
      </c>
    </row>
    <row r="35" spans="1:22" x14ac:dyDescent="0.3">
      <c r="A35" t="s">
        <v>93</v>
      </c>
      <c r="B35" t="s">
        <v>30</v>
      </c>
      <c r="C35" t="s">
        <v>94</v>
      </c>
      <c r="D35">
        <v>7</v>
      </c>
      <c r="E35">
        <v>7</v>
      </c>
      <c r="F35">
        <v>127</v>
      </c>
      <c r="G35">
        <f>152+1+1+210+22+11+2</f>
        <v>399</v>
      </c>
      <c r="H35">
        <v>0</v>
      </c>
      <c r="I35">
        <v>0</v>
      </c>
      <c r="J35">
        <v>0</v>
      </c>
      <c r="K35" t="s">
        <v>95</v>
      </c>
      <c r="L35">
        <v>123.5</v>
      </c>
      <c r="M35">
        <v>133</v>
      </c>
      <c r="N35" s="2">
        <v>46097</v>
      </c>
      <c r="O35" s="2">
        <v>46476</v>
      </c>
      <c r="P35" s="2">
        <v>46098</v>
      </c>
      <c r="Q35" t="s">
        <v>96</v>
      </c>
      <c r="R35">
        <v>12</v>
      </c>
      <c r="U35" t="s">
        <v>33</v>
      </c>
      <c r="V35" t="s">
        <v>329</v>
      </c>
    </row>
    <row r="36" spans="1:22" x14ac:dyDescent="0.3">
      <c r="A36" t="s">
        <v>97</v>
      </c>
      <c r="B36" t="s">
        <v>30</v>
      </c>
      <c r="C36" t="s">
        <v>94</v>
      </c>
      <c r="D36">
        <v>0</v>
      </c>
      <c r="E36">
        <v>9</v>
      </c>
      <c r="F36">
        <v>131</v>
      </c>
      <c r="G36">
        <f>151+6+111+20+14+1+10+1+2</f>
        <v>316</v>
      </c>
      <c r="H36">
        <v>0</v>
      </c>
      <c r="I36">
        <v>0</v>
      </c>
      <c r="J36">
        <v>0</v>
      </c>
      <c r="K36" t="s">
        <v>95</v>
      </c>
      <c r="L36">
        <v>132</v>
      </c>
      <c r="M36">
        <v>134</v>
      </c>
      <c r="N36" s="2">
        <v>46094</v>
      </c>
      <c r="O36" s="2">
        <v>46475</v>
      </c>
      <c r="P36" s="2">
        <v>46097</v>
      </c>
      <c r="Q36" t="s">
        <v>96</v>
      </c>
      <c r="R36">
        <v>12</v>
      </c>
      <c r="U36" t="s">
        <v>33</v>
      </c>
      <c r="V36" t="s">
        <v>329</v>
      </c>
    </row>
    <row r="37" spans="1:22" x14ac:dyDescent="0.3">
      <c r="A37" t="s">
        <v>98</v>
      </c>
      <c r="B37" t="s">
        <v>99</v>
      </c>
      <c r="C37" t="s">
        <v>45</v>
      </c>
      <c r="D37">
        <v>22</v>
      </c>
      <c r="E37">
        <v>8</v>
      </c>
      <c r="F37">
        <v>1000</v>
      </c>
      <c r="G37">
        <f>7+40+7+5+30+12+100+207</f>
        <v>408</v>
      </c>
      <c r="H37">
        <v>1020</v>
      </c>
      <c r="I37">
        <v>14</v>
      </c>
      <c r="J37">
        <f>20+1+3+5+7+10+50+16+50+1+1+140+149+1</f>
        <v>454</v>
      </c>
      <c r="K37">
        <v>19.5</v>
      </c>
      <c r="L37">
        <v>1010</v>
      </c>
      <c r="M37">
        <v>1000</v>
      </c>
      <c r="N37" s="2">
        <v>46094</v>
      </c>
      <c r="O37" s="2">
        <v>46216</v>
      </c>
      <c r="P37" s="2">
        <v>46097</v>
      </c>
      <c r="Q37" t="s">
        <v>27</v>
      </c>
      <c r="R37">
        <v>4</v>
      </c>
      <c r="S37">
        <v>11.22</v>
      </c>
      <c r="T37" t="s">
        <v>39</v>
      </c>
      <c r="U37" t="s">
        <v>59</v>
      </c>
      <c r="V37" t="s">
        <v>329</v>
      </c>
    </row>
    <row r="38" spans="1:22" x14ac:dyDescent="0.3">
      <c r="A38" t="s">
        <v>102</v>
      </c>
      <c r="B38" t="s">
        <v>30</v>
      </c>
      <c r="C38" t="s">
        <v>45</v>
      </c>
      <c r="D38">
        <v>3</v>
      </c>
      <c r="E38">
        <v>3</v>
      </c>
      <c r="F38">
        <v>1047</v>
      </c>
      <c r="G38">
        <f>3+287+629</f>
        <v>919</v>
      </c>
      <c r="H38">
        <v>0</v>
      </c>
      <c r="I38">
        <v>0</v>
      </c>
      <c r="J38">
        <v>0</v>
      </c>
      <c r="K38">
        <v>20</v>
      </c>
      <c r="L38">
        <v>1047</v>
      </c>
      <c r="M38">
        <v>1000</v>
      </c>
      <c r="N38" s="2">
        <v>46094</v>
      </c>
      <c r="O38" s="2">
        <v>46188</v>
      </c>
      <c r="P38" s="2">
        <v>46094</v>
      </c>
      <c r="Q38" t="s">
        <v>27</v>
      </c>
      <c r="R38">
        <v>3</v>
      </c>
      <c r="S38">
        <v>29.04</v>
      </c>
      <c r="T38" t="s">
        <v>40</v>
      </c>
      <c r="U38" t="s">
        <v>33</v>
      </c>
      <c r="V38" t="s">
        <v>329</v>
      </c>
    </row>
    <row r="39" spans="1:22" x14ac:dyDescent="0.3">
      <c r="A39" t="s">
        <v>103</v>
      </c>
      <c r="B39" t="s">
        <v>30</v>
      </c>
      <c r="C39" t="s">
        <v>45</v>
      </c>
      <c r="D39">
        <v>4</v>
      </c>
      <c r="E39">
        <v>4</v>
      </c>
      <c r="F39">
        <v>1012</v>
      </c>
      <c r="G39">
        <f>2+57+100+95</f>
        <v>254</v>
      </c>
      <c r="H39">
        <v>0</v>
      </c>
      <c r="I39">
        <v>0</v>
      </c>
      <c r="J39">
        <v>0</v>
      </c>
      <c r="K39">
        <v>19</v>
      </c>
      <c r="L39">
        <v>1012</v>
      </c>
      <c r="M39">
        <v>1000</v>
      </c>
      <c r="N39" s="2">
        <v>46093</v>
      </c>
      <c r="O39" s="2">
        <v>46279</v>
      </c>
      <c r="P39" s="2">
        <v>46093</v>
      </c>
      <c r="Q39" t="s">
        <v>27</v>
      </c>
      <c r="R39">
        <v>6</v>
      </c>
      <c r="S39">
        <v>28.11</v>
      </c>
      <c r="T39" t="s">
        <v>40</v>
      </c>
      <c r="U39" t="s">
        <v>33</v>
      </c>
      <c r="V39" t="s">
        <v>329</v>
      </c>
    </row>
    <row r="40" spans="1:22" x14ac:dyDescent="0.3">
      <c r="A40" t="s">
        <v>104</v>
      </c>
      <c r="B40" t="s">
        <v>30</v>
      </c>
      <c r="C40" t="s">
        <v>45</v>
      </c>
      <c r="D40">
        <v>7</v>
      </c>
      <c r="E40">
        <v>5</v>
      </c>
      <c r="F40">
        <v>120</v>
      </c>
      <c r="G40">
        <f>1+19+20+100+150</f>
        <v>290</v>
      </c>
      <c r="H40">
        <v>127</v>
      </c>
      <c r="I40">
        <v>2</v>
      </c>
      <c r="J40">
        <f>39+61</f>
        <v>100</v>
      </c>
      <c r="K40" t="s">
        <v>95</v>
      </c>
      <c r="L40">
        <v>123.5</v>
      </c>
      <c r="M40">
        <v>134</v>
      </c>
      <c r="N40" s="2">
        <v>46092</v>
      </c>
      <c r="O40" s="2">
        <v>46471</v>
      </c>
      <c r="P40" s="2">
        <v>46093</v>
      </c>
      <c r="Q40" t="s">
        <v>96</v>
      </c>
      <c r="R40">
        <v>12</v>
      </c>
      <c r="V40" t="s">
        <v>329</v>
      </c>
    </row>
    <row r="41" spans="1:22" x14ac:dyDescent="0.3">
      <c r="A41" t="s">
        <v>105</v>
      </c>
      <c r="B41" t="s">
        <v>30</v>
      </c>
      <c r="C41" t="s">
        <v>45</v>
      </c>
      <c r="D41">
        <v>4</v>
      </c>
      <c r="E41">
        <v>4</v>
      </c>
      <c r="F41">
        <v>130</v>
      </c>
      <c r="G41">
        <f>100+18+101+150</f>
        <v>369</v>
      </c>
      <c r="H41">
        <v>0</v>
      </c>
      <c r="I41">
        <v>0</v>
      </c>
      <c r="J41">
        <v>0</v>
      </c>
      <c r="K41" t="s">
        <v>95</v>
      </c>
      <c r="L41">
        <v>132</v>
      </c>
      <c r="M41">
        <v>132</v>
      </c>
      <c r="N41" s="2">
        <v>46091</v>
      </c>
      <c r="O41" s="2">
        <v>46470</v>
      </c>
      <c r="P41" s="2">
        <v>46092</v>
      </c>
      <c r="Q41" t="s">
        <v>96</v>
      </c>
      <c r="R41">
        <v>12</v>
      </c>
      <c r="V41" t="s">
        <v>329</v>
      </c>
    </row>
    <row r="42" spans="1:22" x14ac:dyDescent="0.3">
      <c r="A42" t="s">
        <v>106</v>
      </c>
      <c r="B42" t="s">
        <v>107</v>
      </c>
      <c r="C42" t="s">
        <v>45</v>
      </c>
      <c r="D42">
        <v>11</v>
      </c>
      <c r="E42">
        <v>9</v>
      </c>
      <c r="F42">
        <v>1002</v>
      </c>
      <c r="G42">
        <f>101+20+28+100+3+6+500+500+1</f>
        <v>1259</v>
      </c>
      <c r="H42">
        <v>1020</v>
      </c>
      <c r="I42">
        <v>2</v>
      </c>
      <c r="J42">
        <v>4</v>
      </c>
      <c r="K42">
        <v>17.5</v>
      </c>
      <c r="L42">
        <v>1011</v>
      </c>
      <c r="M42">
        <v>1000</v>
      </c>
      <c r="N42" s="2">
        <v>46091</v>
      </c>
      <c r="O42" s="2">
        <v>46183</v>
      </c>
      <c r="P42" s="2">
        <v>46092</v>
      </c>
      <c r="Q42" t="s">
        <v>27</v>
      </c>
      <c r="R42">
        <v>3</v>
      </c>
      <c r="S42">
        <v>11.51</v>
      </c>
      <c r="T42" t="s">
        <v>39</v>
      </c>
      <c r="V42" t="s">
        <v>329</v>
      </c>
    </row>
    <row r="43" spans="1:22" x14ac:dyDescent="0.3">
      <c r="A43" t="s">
        <v>108</v>
      </c>
      <c r="B43" t="s">
        <v>30</v>
      </c>
      <c r="C43" t="s">
        <v>94</v>
      </c>
      <c r="D43">
        <v>6</v>
      </c>
      <c r="E43">
        <v>6</v>
      </c>
      <c r="F43">
        <v>121</v>
      </c>
      <c r="G43">
        <f>4+27+25+100+1+2</f>
        <v>159</v>
      </c>
      <c r="H43">
        <v>0</v>
      </c>
      <c r="I43">
        <v>0</v>
      </c>
      <c r="J43">
        <v>0</v>
      </c>
      <c r="K43" t="s">
        <v>95</v>
      </c>
      <c r="L43">
        <v>126.5</v>
      </c>
      <c r="M43">
        <v>132</v>
      </c>
      <c r="N43" s="2">
        <v>46087</v>
      </c>
      <c r="O43" s="2">
        <v>46469</v>
      </c>
      <c r="P43" s="2">
        <v>46091</v>
      </c>
      <c r="Q43" t="s">
        <v>96</v>
      </c>
      <c r="R43">
        <v>12</v>
      </c>
      <c r="V43" t="s">
        <v>329</v>
      </c>
    </row>
    <row r="44" spans="1:22" x14ac:dyDescent="0.3">
      <c r="A44" t="s">
        <v>109</v>
      </c>
      <c r="B44" t="s">
        <v>30</v>
      </c>
      <c r="C44" t="s">
        <v>45</v>
      </c>
      <c r="D44">
        <v>3</v>
      </c>
      <c r="E44">
        <v>3</v>
      </c>
      <c r="F44">
        <v>1002</v>
      </c>
      <c r="G44">
        <f>2+51+686</f>
        <v>739</v>
      </c>
      <c r="H44">
        <v>0</v>
      </c>
      <c r="I44">
        <v>0</v>
      </c>
      <c r="J44">
        <v>0</v>
      </c>
      <c r="K44">
        <v>20</v>
      </c>
      <c r="L44">
        <v>1002</v>
      </c>
      <c r="M44">
        <v>1000</v>
      </c>
      <c r="N44" s="2">
        <v>46087</v>
      </c>
      <c r="O44" s="2">
        <v>46178</v>
      </c>
      <c r="P44" s="2">
        <v>46087</v>
      </c>
      <c r="Q44" t="s">
        <v>27</v>
      </c>
      <c r="R44">
        <v>3</v>
      </c>
      <c r="S44">
        <v>32.880000000000003</v>
      </c>
      <c r="T44" t="s">
        <v>40</v>
      </c>
      <c r="U44" t="s">
        <v>33</v>
      </c>
      <c r="V44" t="s">
        <v>329</v>
      </c>
    </row>
    <row r="45" spans="1:22" x14ac:dyDescent="0.3">
      <c r="A45" t="s">
        <v>110</v>
      </c>
      <c r="B45" t="s">
        <v>30</v>
      </c>
      <c r="C45" t="s">
        <v>45</v>
      </c>
      <c r="D45">
        <v>4</v>
      </c>
      <c r="E45">
        <v>4</v>
      </c>
      <c r="F45">
        <v>1003</v>
      </c>
      <c r="G45">
        <f>1+1+50+502</f>
        <v>554</v>
      </c>
      <c r="H45">
        <v>0</v>
      </c>
      <c r="I45">
        <v>0</v>
      </c>
      <c r="J45">
        <v>0</v>
      </c>
      <c r="K45">
        <v>19</v>
      </c>
      <c r="L45">
        <v>1003</v>
      </c>
      <c r="M45">
        <v>1000</v>
      </c>
      <c r="N45" s="2">
        <v>46087</v>
      </c>
      <c r="O45" s="2">
        <v>46272</v>
      </c>
      <c r="P45" s="2">
        <v>46087</v>
      </c>
      <c r="Q45" t="s">
        <v>27</v>
      </c>
      <c r="R45">
        <v>6</v>
      </c>
      <c r="S45">
        <v>31.23</v>
      </c>
      <c r="T45" t="s">
        <v>40</v>
      </c>
      <c r="U45" t="s">
        <v>33</v>
      </c>
      <c r="V45" t="s">
        <v>329</v>
      </c>
    </row>
    <row r="46" spans="1:22" x14ac:dyDescent="0.3">
      <c r="A46" t="s">
        <v>111</v>
      </c>
      <c r="B46" t="s">
        <v>112</v>
      </c>
      <c r="C46" t="s">
        <v>45</v>
      </c>
      <c r="D46">
        <v>8</v>
      </c>
      <c r="E46">
        <v>3</v>
      </c>
      <c r="F46">
        <v>8000</v>
      </c>
      <c r="G46">
        <f>5+2+1</f>
        <v>8</v>
      </c>
      <c r="H46">
        <v>8950</v>
      </c>
      <c r="I46">
        <v>5</v>
      </c>
      <c r="J46">
        <f>1+101+20+6+12</f>
        <v>140</v>
      </c>
      <c r="K46">
        <v>18</v>
      </c>
      <c r="L46">
        <v>8460</v>
      </c>
      <c r="M46">
        <v>8950</v>
      </c>
      <c r="N46" s="2">
        <v>46086</v>
      </c>
      <c r="O46" s="2">
        <v>46176</v>
      </c>
      <c r="P46" s="2">
        <v>46087</v>
      </c>
      <c r="Q46" t="s">
        <v>27</v>
      </c>
      <c r="R46">
        <v>3</v>
      </c>
      <c r="T46" t="s">
        <v>40</v>
      </c>
      <c r="U46" t="s">
        <v>113</v>
      </c>
      <c r="V46" t="s">
        <v>329</v>
      </c>
    </row>
    <row r="47" spans="1:22" x14ac:dyDescent="0.3">
      <c r="A47" t="s">
        <v>114</v>
      </c>
      <c r="B47" t="s">
        <v>30</v>
      </c>
      <c r="C47" t="s">
        <v>94</v>
      </c>
      <c r="D47">
        <v>5</v>
      </c>
      <c r="E47">
        <v>4</v>
      </c>
      <c r="F47">
        <v>110</v>
      </c>
      <c r="G47">
        <f>30+109+1+300</f>
        <v>440</v>
      </c>
      <c r="H47">
        <v>130</v>
      </c>
      <c r="I47">
        <v>1</v>
      </c>
      <c r="J47">
        <v>2</v>
      </c>
      <c r="K47" t="s">
        <v>95</v>
      </c>
      <c r="L47">
        <v>132</v>
      </c>
      <c r="M47">
        <v>134</v>
      </c>
      <c r="N47" s="2">
        <v>46085</v>
      </c>
      <c r="O47" s="2">
        <v>46465</v>
      </c>
      <c r="P47" s="2">
        <v>46086</v>
      </c>
      <c r="Q47" t="s">
        <v>96</v>
      </c>
      <c r="R47">
        <v>12</v>
      </c>
      <c r="U47" t="s">
        <v>33</v>
      </c>
      <c r="V47" t="s">
        <v>329</v>
      </c>
    </row>
    <row r="48" spans="1:22" x14ac:dyDescent="0.3">
      <c r="A48" t="s">
        <v>115</v>
      </c>
      <c r="B48" t="s">
        <v>30</v>
      </c>
      <c r="C48" t="s">
        <v>45</v>
      </c>
      <c r="D48">
        <v>4</v>
      </c>
      <c r="E48">
        <v>4</v>
      </c>
      <c r="F48">
        <v>1004</v>
      </c>
      <c r="G48">
        <f>9+116+100+3</f>
        <v>228</v>
      </c>
      <c r="H48">
        <v>0</v>
      </c>
      <c r="I48">
        <v>0</v>
      </c>
      <c r="J48">
        <v>0</v>
      </c>
      <c r="K48">
        <v>20</v>
      </c>
      <c r="L48">
        <v>1004</v>
      </c>
      <c r="M48">
        <v>1000</v>
      </c>
      <c r="N48" s="2">
        <v>46081</v>
      </c>
      <c r="O48" s="2">
        <v>46169</v>
      </c>
      <c r="P48" s="2">
        <v>46083</v>
      </c>
      <c r="Q48" t="s">
        <v>27</v>
      </c>
      <c r="R48">
        <v>3</v>
      </c>
      <c r="S48">
        <v>36.159999999999997</v>
      </c>
      <c r="T48" t="s">
        <v>40</v>
      </c>
      <c r="U48" t="s">
        <v>33</v>
      </c>
      <c r="V48" t="s">
        <v>329</v>
      </c>
    </row>
    <row r="49" spans="1:22" x14ac:dyDescent="0.3">
      <c r="A49" t="s">
        <v>116</v>
      </c>
      <c r="B49" t="s">
        <v>30</v>
      </c>
      <c r="C49" t="s">
        <v>94</v>
      </c>
      <c r="D49">
        <v>2</v>
      </c>
      <c r="E49">
        <v>2</v>
      </c>
      <c r="F49">
        <v>109</v>
      </c>
      <c r="G49">
        <f>107+22</f>
        <v>129</v>
      </c>
      <c r="H49">
        <v>0</v>
      </c>
      <c r="I49">
        <v>0</v>
      </c>
      <c r="J49">
        <v>0</v>
      </c>
      <c r="K49" t="s">
        <v>95</v>
      </c>
      <c r="L49">
        <v>120.5</v>
      </c>
      <c r="M49">
        <v>132</v>
      </c>
      <c r="N49" s="2">
        <v>46080</v>
      </c>
      <c r="O49" s="2">
        <v>46462</v>
      </c>
      <c r="P49" s="2">
        <v>46083</v>
      </c>
      <c r="Q49" t="s">
        <v>27</v>
      </c>
      <c r="R49">
        <v>12</v>
      </c>
      <c r="U49" t="s">
        <v>33</v>
      </c>
      <c r="V49" t="s">
        <v>329</v>
      </c>
    </row>
    <row r="50" spans="1:22" x14ac:dyDescent="0.3">
      <c r="A50" t="s">
        <v>117</v>
      </c>
      <c r="B50" t="s">
        <v>30</v>
      </c>
      <c r="C50" t="s">
        <v>45</v>
      </c>
      <c r="D50">
        <v>2</v>
      </c>
      <c r="E50">
        <v>2</v>
      </c>
      <c r="F50">
        <v>1002</v>
      </c>
      <c r="G50">
        <f>10+11</f>
        <v>21</v>
      </c>
      <c r="H50">
        <v>0</v>
      </c>
      <c r="I50">
        <v>0</v>
      </c>
      <c r="J50">
        <v>0</v>
      </c>
      <c r="K50">
        <v>15.3</v>
      </c>
      <c r="L50">
        <v>1002</v>
      </c>
      <c r="M50">
        <v>1000</v>
      </c>
      <c r="N50" s="2">
        <v>46081</v>
      </c>
      <c r="O50" s="2">
        <v>46169</v>
      </c>
      <c r="P50" s="2">
        <v>46083</v>
      </c>
      <c r="Q50" t="s">
        <v>27</v>
      </c>
      <c r="R50">
        <v>3</v>
      </c>
      <c r="S50">
        <v>27.67</v>
      </c>
      <c r="T50" t="s">
        <v>40</v>
      </c>
      <c r="U50" t="s">
        <v>33</v>
      </c>
      <c r="V50" t="s">
        <v>329</v>
      </c>
    </row>
    <row r="51" spans="1:22" x14ac:dyDescent="0.3">
      <c r="A51" t="s">
        <v>118</v>
      </c>
      <c r="B51" t="s">
        <v>119</v>
      </c>
      <c r="C51" t="s">
        <v>45</v>
      </c>
      <c r="D51">
        <v>16</v>
      </c>
      <c r="E51">
        <v>9</v>
      </c>
      <c r="F51">
        <v>999</v>
      </c>
      <c r="G51">
        <f>84+100+10+251+20+1+2+1000+32</f>
        <v>1500</v>
      </c>
      <c r="H51">
        <v>1003</v>
      </c>
      <c r="I51">
        <v>7</v>
      </c>
      <c r="J51">
        <f>882+704+2+4+2+3+1</f>
        <v>1598</v>
      </c>
      <c r="K51">
        <v>15.25</v>
      </c>
      <c r="L51">
        <v>1001</v>
      </c>
      <c r="M51">
        <v>1000</v>
      </c>
      <c r="N51" s="2">
        <v>46079</v>
      </c>
      <c r="O51" s="2">
        <v>46171</v>
      </c>
      <c r="P51" s="2">
        <v>46080</v>
      </c>
      <c r="Q51" t="s">
        <v>27</v>
      </c>
      <c r="R51">
        <v>3</v>
      </c>
      <c r="S51">
        <v>2.92</v>
      </c>
      <c r="T51" t="s">
        <v>39</v>
      </c>
      <c r="U51" t="s">
        <v>120</v>
      </c>
      <c r="V51" t="s">
        <v>329</v>
      </c>
    </row>
    <row r="52" spans="1:22" x14ac:dyDescent="0.3">
      <c r="A52" t="s">
        <v>121</v>
      </c>
      <c r="B52" t="s">
        <v>30</v>
      </c>
      <c r="C52" t="s">
        <v>94</v>
      </c>
      <c r="D52">
        <v>6</v>
      </c>
      <c r="E52">
        <v>6</v>
      </c>
      <c r="F52">
        <v>127</v>
      </c>
      <c r="G52">
        <f>10+1+26+18+104+5</f>
        <v>164</v>
      </c>
      <c r="H52">
        <v>0</v>
      </c>
      <c r="I52">
        <v>0</v>
      </c>
      <c r="J52">
        <v>0</v>
      </c>
      <c r="K52" t="s">
        <v>95</v>
      </c>
      <c r="L52">
        <v>129.5</v>
      </c>
      <c r="M52">
        <v>127</v>
      </c>
      <c r="N52" s="2">
        <v>46077</v>
      </c>
      <c r="O52" s="2">
        <v>46457</v>
      </c>
      <c r="P52" s="2">
        <v>46078</v>
      </c>
      <c r="Q52" t="s">
        <v>96</v>
      </c>
      <c r="R52">
        <v>12</v>
      </c>
      <c r="U52" t="s">
        <v>33</v>
      </c>
      <c r="V52" t="s">
        <v>329</v>
      </c>
    </row>
    <row r="53" spans="1:22" x14ac:dyDescent="0.3">
      <c r="A53" t="s">
        <v>122</v>
      </c>
      <c r="B53" t="s">
        <v>123</v>
      </c>
      <c r="C53" t="s">
        <v>45</v>
      </c>
      <c r="D53">
        <v>12</v>
      </c>
      <c r="E53">
        <v>7</v>
      </c>
      <c r="F53">
        <v>1001</v>
      </c>
      <c r="G53">
        <f>50+143+7+14+32+70+1</f>
        <v>317</v>
      </c>
      <c r="H53">
        <v>1013</v>
      </c>
      <c r="I53">
        <f>D53-E53</f>
        <v>5</v>
      </c>
      <c r="J53">
        <f>58+43+50+3+1</f>
        <v>155</v>
      </c>
      <c r="K53">
        <v>21</v>
      </c>
      <c r="L53">
        <v>1007</v>
      </c>
      <c r="M53">
        <v>1000</v>
      </c>
      <c r="N53" s="2">
        <v>46073</v>
      </c>
      <c r="O53" s="2">
        <v>46162</v>
      </c>
      <c r="P53" s="2">
        <v>46077</v>
      </c>
      <c r="Q53" t="s">
        <v>27</v>
      </c>
      <c r="R53">
        <v>3</v>
      </c>
      <c r="S53">
        <v>8.0500000000000007</v>
      </c>
      <c r="T53" t="s">
        <v>39</v>
      </c>
      <c r="V53" t="s">
        <v>329</v>
      </c>
    </row>
    <row r="54" spans="1:22" x14ac:dyDescent="0.3">
      <c r="A54" t="s">
        <v>124</v>
      </c>
      <c r="B54" t="s">
        <v>30</v>
      </c>
      <c r="C54" t="s">
        <v>94</v>
      </c>
      <c r="D54">
        <v>5</v>
      </c>
      <c r="E54">
        <v>4</v>
      </c>
      <c r="F54">
        <v>126</v>
      </c>
      <c r="G54">
        <f>8+24+105+101</f>
        <v>238</v>
      </c>
      <c r="H54">
        <v>129</v>
      </c>
      <c r="I54">
        <v>1</v>
      </c>
      <c r="J54">
        <v>1</v>
      </c>
      <c r="K54" t="s">
        <v>95</v>
      </c>
      <c r="L54">
        <v>127.5</v>
      </c>
      <c r="M54">
        <v>126</v>
      </c>
      <c r="N54" s="2">
        <v>46069</v>
      </c>
      <c r="O54" s="2">
        <v>46449</v>
      </c>
      <c r="P54" s="2">
        <v>46070</v>
      </c>
      <c r="Q54" t="s">
        <v>96</v>
      </c>
      <c r="R54">
        <v>12</v>
      </c>
      <c r="U54" t="s">
        <v>33</v>
      </c>
      <c r="V54" t="s">
        <v>329</v>
      </c>
    </row>
    <row r="55" spans="1:22" x14ac:dyDescent="0.3">
      <c r="A55" t="s">
        <v>141</v>
      </c>
      <c r="B55" t="s">
        <v>112</v>
      </c>
      <c r="C55" t="s">
        <v>45</v>
      </c>
      <c r="D55">
        <v>8</v>
      </c>
      <c r="E55">
        <v>7</v>
      </c>
      <c r="F55">
        <v>5302</v>
      </c>
      <c r="G55">
        <f>1+10+7+7+4+2+3</f>
        <v>34</v>
      </c>
      <c r="H55">
        <v>5850</v>
      </c>
      <c r="I55">
        <v>1</v>
      </c>
      <c r="J55">
        <v>9</v>
      </c>
      <c r="K55">
        <v>18.5</v>
      </c>
      <c r="L55">
        <v>5576</v>
      </c>
      <c r="M55">
        <v>5850</v>
      </c>
      <c r="N55" s="2">
        <v>46069</v>
      </c>
      <c r="O55" s="2">
        <v>46160</v>
      </c>
      <c r="P55" s="2">
        <v>46070</v>
      </c>
      <c r="Q55" t="s">
        <v>27</v>
      </c>
      <c r="R55">
        <v>3</v>
      </c>
      <c r="T55" t="s">
        <v>40</v>
      </c>
      <c r="U55" t="s">
        <v>125</v>
      </c>
      <c r="V55" t="s">
        <v>329</v>
      </c>
    </row>
    <row r="56" spans="1:22" x14ac:dyDescent="0.3">
      <c r="A56" t="s">
        <v>126</v>
      </c>
      <c r="B56" t="s">
        <v>127</v>
      </c>
      <c r="C56" t="s">
        <v>45</v>
      </c>
      <c r="D56">
        <v>7</v>
      </c>
      <c r="E56">
        <v>4</v>
      </c>
      <c r="F56">
        <v>999</v>
      </c>
      <c r="G56">
        <f>112+45+32+1</f>
        <v>190</v>
      </c>
      <c r="H56">
        <v>1080</v>
      </c>
      <c r="I56">
        <v>3</v>
      </c>
      <c r="J56">
        <f>1+1+300</f>
        <v>302</v>
      </c>
      <c r="K56">
        <v>19.5</v>
      </c>
      <c r="L56">
        <v>1039.5</v>
      </c>
      <c r="M56">
        <v>1000</v>
      </c>
      <c r="N56" s="2">
        <v>46069</v>
      </c>
      <c r="O56" s="2">
        <v>46434</v>
      </c>
      <c r="P56" s="2">
        <v>46070</v>
      </c>
      <c r="Q56" t="s">
        <v>27</v>
      </c>
      <c r="R56">
        <v>12</v>
      </c>
      <c r="S56">
        <v>9.6199999999999992</v>
      </c>
      <c r="T56" t="s">
        <v>39</v>
      </c>
      <c r="V56" t="s">
        <v>329</v>
      </c>
    </row>
    <row r="57" spans="1:22" x14ac:dyDescent="0.3">
      <c r="A57" t="s">
        <v>128</v>
      </c>
      <c r="B57" t="s">
        <v>30</v>
      </c>
      <c r="C57" t="s">
        <v>45</v>
      </c>
      <c r="D57">
        <v>1</v>
      </c>
      <c r="E57">
        <v>1</v>
      </c>
      <c r="F57">
        <v>1007</v>
      </c>
      <c r="G57">
        <v>11</v>
      </c>
      <c r="H57">
        <v>0</v>
      </c>
      <c r="I57">
        <v>0</v>
      </c>
      <c r="J57">
        <v>0</v>
      </c>
      <c r="K57">
        <v>15.76</v>
      </c>
      <c r="L57">
        <v>1007</v>
      </c>
      <c r="M57">
        <v>1000</v>
      </c>
      <c r="N57" s="2">
        <v>46067</v>
      </c>
      <c r="O57" s="2">
        <v>46155</v>
      </c>
      <c r="P57" s="2">
        <v>46069</v>
      </c>
      <c r="Q57" t="s">
        <v>27</v>
      </c>
      <c r="R57">
        <v>3</v>
      </c>
      <c r="S57">
        <v>34.54</v>
      </c>
      <c r="T57" t="s">
        <v>40</v>
      </c>
      <c r="U57" t="s">
        <v>33</v>
      </c>
      <c r="V57" t="s">
        <v>329</v>
      </c>
    </row>
    <row r="58" spans="1:22" x14ac:dyDescent="0.3">
      <c r="A58" t="s">
        <v>129</v>
      </c>
      <c r="B58" t="s">
        <v>30</v>
      </c>
      <c r="C58" t="s">
        <v>45</v>
      </c>
      <c r="D58">
        <v>6</v>
      </c>
      <c r="E58">
        <v>3</v>
      </c>
      <c r="F58">
        <v>1014</v>
      </c>
      <c r="G58">
        <f>35+200+302</f>
        <v>537</v>
      </c>
      <c r="H58">
        <v>1036</v>
      </c>
      <c r="I58">
        <v>3</v>
      </c>
      <c r="J58">
        <f>45+50+31</f>
        <v>126</v>
      </c>
      <c r="K58">
        <v>15.58</v>
      </c>
      <c r="L58">
        <v>1025</v>
      </c>
      <c r="M58">
        <v>1000</v>
      </c>
      <c r="N58" s="2">
        <v>46067</v>
      </c>
      <c r="O58" s="2">
        <v>46155</v>
      </c>
      <c r="P58" s="2">
        <v>46069</v>
      </c>
      <c r="Q58" t="s">
        <v>27</v>
      </c>
      <c r="R58">
        <v>3</v>
      </c>
      <c r="S58">
        <v>34.15</v>
      </c>
      <c r="T58" t="s">
        <v>40</v>
      </c>
      <c r="U58" t="s">
        <v>33</v>
      </c>
      <c r="V58" t="s">
        <v>329</v>
      </c>
    </row>
    <row r="59" spans="1:22" x14ac:dyDescent="0.3">
      <c r="A59" t="s">
        <v>130</v>
      </c>
      <c r="B59" t="s">
        <v>57</v>
      </c>
      <c r="C59" t="s">
        <v>45</v>
      </c>
      <c r="D59">
        <v>12</v>
      </c>
      <c r="E59">
        <v>5</v>
      </c>
      <c r="F59">
        <v>1002</v>
      </c>
      <c r="G59">
        <f>100+180+46+45+32</f>
        <v>403</v>
      </c>
      <c r="H59">
        <v>1093</v>
      </c>
      <c r="I59">
        <f>D59-E59</f>
        <v>7</v>
      </c>
      <c r="J59">
        <f>10+1+2+3+7+10+20</f>
        <v>53</v>
      </c>
      <c r="K59">
        <v>21.5</v>
      </c>
      <c r="L59">
        <v>1047</v>
      </c>
      <c r="M59">
        <v>1000</v>
      </c>
      <c r="N59" s="2">
        <v>46065</v>
      </c>
      <c r="O59" s="2">
        <v>46338</v>
      </c>
      <c r="P59" s="2">
        <v>46066</v>
      </c>
      <c r="Q59" t="s">
        <v>27</v>
      </c>
      <c r="R59">
        <v>9</v>
      </c>
      <c r="S59">
        <v>12.37</v>
      </c>
      <c r="T59" t="s">
        <v>39</v>
      </c>
      <c r="U59" t="s">
        <v>58</v>
      </c>
      <c r="V59" t="s">
        <v>329</v>
      </c>
    </row>
    <row r="60" spans="1:22" x14ac:dyDescent="0.3">
      <c r="A60" t="s">
        <v>131</v>
      </c>
      <c r="B60" t="s">
        <v>30</v>
      </c>
      <c r="C60" t="s">
        <v>45</v>
      </c>
      <c r="D60">
        <v>5</v>
      </c>
      <c r="E60">
        <v>4</v>
      </c>
      <c r="F60">
        <v>1016</v>
      </c>
      <c r="G60">
        <f>50+1+1+302</f>
        <v>354</v>
      </c>
      <c r="H60">
        <v>1037</v>
      </c>
      <c r="I60">
        <v>1</v>
      </c>
      <c r="J60">
        <v>111</v>
      </c>
      <c r="K60">
        <v>15.58</v>
      </c>
      <c r="L60">
        <v>1026.5</v>
      </c>
      <c r="M60">
        <v>1000</v>
      </c>
      <c r="N60" s="2">
        <v>46065</v>
      </c>
      <c r="O60" s="2">
        <v>46154</v>
      </c>
      <c r="P60" s="2">
        <v>46065</v>
      </c>
      <c r="Q60" t="s">
        <v>27</v>
      </c>
      <c r="R60">
        <v>3</v>
      </c>
      <c r="S60">
        <v>35</v>
      </c>
      <c r="T60" t="s">
        <v>40</v>
      </c>
      <c r="U60" t="s">
        <v>33</v>
      </c>
      <c r="V60" t="s">
        <v>329</v>
      </c>
    </row>
    <row r="61" spans="1:22" x14ac:dyDescent="0.3">
      <c r="A61" t="s">
        <v>132</v>
      </c>
      <c r="B61" t="s">
        <v>30</v>
      </c>
      <c r="C61" t="s">
        <v>45</v>
      </c>
      <c r="D61">
        <v>3</v>
      </c>
      <c r="E61">
        <v>3</v>
      </c>
      <c r="F61">
        <v>1001</v>
      </c>
      <c r="G61">
        <v>22</v>
      </c>
      <c r="H61">
        <v>0</v>
      </c>
      <c r="I61">
        <v>0</v>
      </c>
      <c r="J61">
        <v>0</v>
      </c>
      <c r="K61">
        <v>15.76</v>
      </c>
      <c r="L61">
        <v>1001</v>
      </c>
      <c r="M61">
        <v>1000</v>
      </c>
      <c r="N61" s="2">
        <v>46065</v>
      </c>
      <c r="O61" s="2">
        <v>46154</v>
      </c>
      <c r="P61" s="2">
        <v>46065</v>
      </c>
      <c r="Q61" t="s">
        <v>27</v>
      </c>
      <c r="R61">
        <v>3</v>
      </c>
      <c r="S61">
        <v>35.409999999999997</v>
      </c>
      <c r="T61" t="s">
        <v>40</v>
      </c>
      <c r="U61" t="s">
        <v>33</v>
      </c>
      <c r="V61" t="s">
        <v>329</v>
      </c>
    </row>
    <row r="62" spans="1:22" x14ac:dyDescent="0.3">
      <c r="A62" t="s">
        <v>133</v>
      </c>
      <c r="B62" t="s">
        <v>30</v>
      </c>
      <c r="C62" t="s">
        <v>45</v>
      </c>
      <c r="D62">
        <v>3</v>
      </c>
      <c r="E62">
        <v>3</v>
      </c>
      <c r="F62">
        <v>1005</v>
      </c>
      <c r="G62">
        <f>50+1000+10</f>
        <v>1060</v>
      </c>
      <c r="H62">
        <v>0</v>
      </c>
      <c r="I62">
        <v>0</v>
      </c>
      <c r="J62">
        <v>0</v>
      </c>
      <c r="K62">
        <v>15.35</v>
      </c>
      <c r="L62">
        <v>1005</v>
      </c>
      <c r="M62">
        <v>1000</v>
      </c>
      <c r="N62" s="2">
        <v>46065</v>
      </c>
      <c r="O62" s="2">
        <v>46154</v>
      </c>
      <c r="P62" s="2">
        <v>46065</v>
      </c>
      <c r="Q62" t="s">
        <v>27</v>
      </c>
      <c r="R62">
        <v>3</v>
      </c>
      <c r="S62">
        <v>8.83</v>
      </c>
      <c r="T62" t="s">
        <v>39</v>
      </c>
      <c r="U62" t="s">
        <v>33</v>
      </c>
      <c r="V62" t="s">
        <v>329</v>
      </c>
    </row>
    <row r="63" spans="1:22" x14ac:dyDescent="0.3">
      <c r="A63" t="s">
        <v>134</v>
      </c>
      <c r="B63" t="s">
        <v>30</v>
      </c>
      <c r="C63" t="s">
        <v>45</v>
      </c>
      <c r="D63">
        <v>7</v>
      </c>
      <c r="E63">
        <v>4</v>
      </c>
      <c r="F63">
        <v>1015</v>
      </c>
      <c r="G63">
        <f>50+302+1000+10</f>
        <v>1362</v>
      </c>
      <c r="H63">
        <v>1037</v>
      </c>
      <c r="I63">
        <v>3</v>
      </c>
      <c r="J63">
        <f>15+1+106</f>
        <v>122</v>
      </c>
      <c r="K63">
        <v>15.4</v>
      </c>
      <c r="L63">
        <v>1026</v>
      </c>
      <c r="M63">
        <v>1000</v>
      </c>
      <c r="N63" s="2">
        <v>46063</v>
      </c>
      <c r="O63" s="2">
        <v>46154</v>
      </c>
      <c r="P63" s="2">
        <v>46063</v>
      </c>
      <c r="Q63" t="s">
        <v>27</v>
      </c>
      <c r="R63">
        <v>3</v>
      </c>
      <c r="S63">
        <v>35.44</v>
      </c>
      <c r="T63" t="s">
        <v>40</v>
      </c>
      <c r="U63" t="s">
        <v>33</v>
      </c>
      <c r="V63" t="s">
        <v>329</v>
      </c>
    </row>
    <row r="64" spans="1:22" x14ac:dyDescent="0.3">
      <c r="A64" t="s">
        <v>135</v>
      </c>
      <c r="B64" t="s">
        <v>30</v>
      </c>
      <c r="C64" t="s">
        <v>45</v>
      </c>
      <c r="D64">
        <v>3</v>
      </c>
      <c r="E64">
        <v>3</v>
      </c>
      <c r="F64">
        <v>1001</v>
      </c>
      <c r="G64">
        <f>50+1+10</f>
        <v>61</v>
      </c>
      <c r="H64">
        <v>0</v>
      </c>
      <c r="I64">
        <v>0</v>
      </c>
      <c r="J64">
        <v>0</v>
      </c>
      <c r="K64">
        <v>15.7</v>
      </c>
      <c r="L64">
        <v>1001</v>
      </c>
      <c r="M64">
        <v>1000</v>
      </c>
      <c r="N64" s="2">
        <v>46063</v>
      </c>
      <c r="O64" s="2">
        <v>46154</v>
      </c>
      <c r="P64" s="2">
        <v>46063</v>
      </c>
      <c r="Q64" t="s">
        <v>27</v>
      </c>
      <c r="R64">
        <v>3</v>
      </c>
      <c r="S64">
        <v>36.130000000000003</v>
      </c>
      <c r="T64" t="s">
        <v>40</v>
      </c>
      <c r="U64" t="s">
        <v>33</v>
      </c>
      <c r="V64" t="s">
        <v>329</v>
      </c>
    </row>
    <row r="65" spans="1:22" x14ac:dyDescent="0.3">
      <c r="A65" t="s">
        <v>136</v>
      </c>
      <c r="B65" t="s">
        <v>30</v>
      </c>
      <c r="C65" t="s">
        <v>94</v>
      </c>
      <c r="D65">
        <v>5</v>
      </c>
      <c r="E65">
        <v>2</v>
      </c>
      <c r="F65">
        <v>123</v>
      </c>
      <c r="G65">
        <f>98+3</f>
        <v>101</v>
      </c>
      <c r="H65">
        <v>127</v>
      </c>
      <c r="I65">
        <v>3</v>
      </c>
      <c r="J65">
        <f>1+2+5</f>
        <v>8</v>
      </c>
      <c r="K65" t="s">
        <v>95</v>
      </c>
      <c r="L65">
        <v>125</v>
      </c>
      <c r="M65">
        <v>123</v>
      </c>
      <c r="N65" s="2">
        <v>46062</v>
      </c>
      <c r="O65" s="2">
        <v>46442</v>
      </c>
      <c r="P65" s="2">
        <v>46063</v>
      </c>
      <c r="Q65" t="s">
        <v>96</v>
      </c>
      <c r="R65">
        <v>12</v>
      </c>
      <c r="U65" t="s">
        <v>33</v>
      </c>
      <c r="V65" t="s">
        <v>329</v>
      </c>
    </row>
    <row r="66" spans="1:22" x14ac:dyDescent="0.3">
      <c r="A66" t="s">
        <v>137</v>
      </c>
      <c r="B66" t="s">
        <v>30</v>
      </c>
      <c r="C66" t="s">
        <v>45</v>
      </c>
      <c r="D66">
        <v>4</v>
      </c>
      <c r="E66">
        <v>4</v>
      </c>
      <c r="F66">
        <v>1000</v>
      </c>
      <c r="G66">
        <f>2+2+4+10</f>
        <v>18</v>
      </c>
      <c r="H66">
        <v>0</v>
      </c>
      <c r="I66">
        <v>0</v>
      </c>
      <c r="J66">
        <v>0</v>
      </c>
      <c r="K66">
        <v>15.7</v>
      </c>
      <c r="L66">
        <v>1000</v>
      </c>
      <c r="M66">
        <v>1000</v>
      </c>
      <c r="N66" s="2">
        <v>46060</v>
      </c>
      <c r="O66" s="2">
        <v>46148</v>
      </c>
      <c r="P66" s="2">
        <v>46062</v>
      </c>
      <c r="Q66" t="s">
        <v>27</v>
      </c>
      <c r="R66">
        <v>3</v>
      </c>
      <c r="S66">
        <v>37.42</v>
      </c>
      <c r="T66" t="s">
        <v>40</v>
      </c>
      <c r="U66" t="s">
        <v>33</v>
      </c>
      <c r="V66" t="s">
        <v>329</v>
      </c>
    </row>
    <row r="67" spans="1:22" x14ac:dyDescent="0.3">
      <c r="A67" t="s">
        <v>138</v>
      </c>
      <c r="B67" t="s">
        <v>30</v>
      </c>
      <c r="C67" t="s">
        <v>45</v>
      </c>
      <c r="D67">
        <v>7</v>
      </c>
      <c r="E67">
        <v>4</v>
      </c>
      <c r="F67">
        <v>1015</v>
      </c>
      <c r="G67">
        <f>49+50+2+10</f>
        <v>111</v>
      </c>
      <c r="H67">
        <v>1040</v>
      </c>
      <c r="I67">
        <v>3</v>
      </c>
      <c r="J67">
        <f>10+9+7</f>
        <v>26</v>
      </c>
      <c r="K67">
        <v>15.4</v>
      </c>
      <c r="L67">
        <v>1027.5</v>
      </c>
      <c r="M67">
        <v>1000</v>
      </c>
      <c r="N67" s="2">
        <v>46060</v>
      </c>
      <c r="O67" s="2">
        <v>46148</v>
      </c>
      <c r="P67" s="2">
        <v>46062</v>
      </c>
      <c r="Q67" t="s">
        <v>27</v>
      </c>
      <c r="R67">
        <v>3</v>
      </c>
      <c r="S67">
        <v>36.71</v>
      </c>
      <c r="T67" t="s">
        <v>40</v>
      </c>
      <c r="U67" t="s">
        <v>33</v>
      </c>
      <c r="V67" t="s">
        <v>329</v>
      </c>
    </row>
    <row r="68" spans="1:22" x14ac:dyDescent="0.3">
      <c r="A68" t="s">
        <v>139</v>
      </c>
      <c r="B68" t="s">
        <v>30</v>
      </c>
      <c r="C68" t="s">
        <v>94</v>
      </c>
      <c r="D68">
        <v>7</v>
      </c>
      <c r="E68">
        <v>6</v>
      </c>
      <c r="F68">
        <v>116</v>
      </c>
      <c r="G68">
        <f>5+25+105+100+99+100</f>
        <v>434</v>
      </c>
      <c r="H68">
        <v>123</v>
      </c>
      <c r="I68">
        <v>1</v>
      </c>
      <c r="J68">
        <v>66</v>
      </c>
      <c r="K68" t="s">
        <v>95</v>
      </c>
      <c r="L68">
        <v>119.5</v>
      </c>
      <c r="M68">
        <v>123</v>
      </c>
      <c r="N68" s="2">
        <v>46059</v>
      </c>
      <c r="O68" s="2">
        <v>46438</v>
      </c>
      <c r="P68" s="2">
        <v>46062</v>
      </c>
      <c r="Q68" t="s">
        <v>96</v>
      </c>
      <c r="R68">
        <v>12</v>
      </c>
      <c r="U68" t="s">
        <v>33</v>
      </c>
      <c r="V68" t="s">
        <v>329</v>
      </c>
    </row>
    <row r="69" spans="1:22" x14ac:dyDescent="0.3">
      <c r="A69" t="s">
        <v>140</v>
      </c>
      <c r="B69" t="s">
        <v>112</v>
      </c>
      <c r="C69" t="s">
        <v>45</v>
      </c>
      <c r="D69">
        <v>6</v>
      </c>
      <c r="E69">
        <v>5</v>
      </c>
      <c r="F69">
        <v>5812</v>
      </c>
      <c r="G69">
        <f>1+10+7+7+5</f>
        <v>30</v>
      </c>
      <c r="H69">
        <v>6400</v>
      </c>
      <c r="I69">
        <v>1</v>
      </c>
      <c r="J69">
        <v>1</v>
      </c>
      <c r="K69">
        <v>18.5</v>
      </c>
      <c r="L69">
        <v>6106</v>
      </c>
      <c r="M69">
        <v>6100</v>
      </c>
      <c r="N69" s="2">
        <v>46058</v>
      </c>
      <c r="O69" s="2">
        <v>46148</v>
      </c>
      <c r="P69" s="2">
        <v>46059</v>
      </c>
      <c r="Q69" t="s">
        <v>27</v>
      </c>
      <c r="R69">
        <v>3</v>
      </c>
      <c r="T69" t="s">
        <v>40</v>
      </c>
      <c r="U69" t="s">
        <v>125</v>
      </c>
      <c r="V69" t="s">
        <v>329</v>
      </c>
    </row>
    <row r="70" spans="1:22" x14ac:dyDescent="0.3">
      <c r="A70" t="s">
        <v>142</v>
      </c>
      <c r="B70" t="s">
        <v>30</v>
      </c>
      <c r="C70" t="s">
        <v>45</v>
      </c>
      <c r="D70">
        <v>2</v>
      </c>
      <c r="E70">
        <v>2</v>
      </c>
      <c r="F70">
        <v>1001</v>
      </c>
      <c r="G70">
        <v>21</v>
      </c>
      <c r="H70">
        <v>0</v>
      </c>
      <c r="I70">
        <v>0</v>
      </c>
      <c r="J70">
        <v>0</v>
      </c>
      <c r="K70">
        <v>15.68</v>
      </c>
      <c r="L70">
        <v>1001</v>
      </c>
      <c r="M70">
        <v>1000</v>
      </c>
      <c r="N70" s="2">
        <v>46058</v>
      </c>
      <c r="O70" s="2">
        <v>46149</v>
      </c>
      <c r="P70" s="2">
        <v>46058</v>
      </c>
      <c r="Q70" t="s">
        <v>27</v>
      </c>
      <c r="R70">
        <v>3</v>
      </c>
      <c r="S70">
        <v>38.229999999999997</v>
      </c>
      <c r="T70" t="s">
        <v>40</v>
      </c>
      <c r="U70" t="s">
        <v>33</v>
      </c>
      <c r="V70" t="s">
        <v>329</v>
      </c>
    </row>
    <row r="71" spans="1:22" x14ac:dyDescent="0.3">
      <c r="A71" t="s">
        <v>143</v>
      </c>
      <c r="B71" t="s">
        <v>30</v>
      </c>
      <c r="C71" t="s">
        <v>45</v>
      </c>
      <c r="D71">
        <v>2</v>
      </c>
      <c r="E71">
        <v>2</v>
      </c>
      <c r="F71">
        <v>1006</v>
      </c>
      <c r="G71">
        <v>21</v>
      </c>
      <c r="H71">
        <v>0</v>
      </c>
      <c r="I71">
        <v>0</v>
      </c>
      <c r="J71">
        <v>0</v>
      </c>
      <c r="K71">
        <v>15.7</v>
      </c>
      <c r="L71">
        <v>1006</v>
      </c>
      <c r="M71">
        <v>1000</v>
      </c>
      <c r="N71" s="2">
        <v>46057</v>
      </c>
      <c r="O71" s="2">
        <v>46147</v>
      </c>
      <c r="P71" s="2">
        <v>46057</v>
      </c>
      <c r="Q71" t="s">
        <v>27</v>
      </c>
      <c r="R71">
        <v>3</v>
      </c>
      <c r="S71">
        <v>38.71</v>
      </c>
      <c r="T71" t="s">
        <v>40</v>
      </c>
      <c r="U71" t="s">
        <v>33</v>
      </c>
      <c r="V71" t="s">
        <v>329</v>
      </c>
    </row>
    <row r="72" spans="1:22" x14ac:dyDescent="0.3">
      <c r="A72" t="s">
        <v>144</v>
      </c>
      <c r="B72" t="s">
        <v>30</v>
      </c>
      <c r="C72" t="s">
        <v>94</v>
      </c>
      <c r="D72">
        <v>7</v>
      </c>
      <c r="E72">
        <v>7</v>
      </c>
      <c r="F72">
        <v>117</v>
      </c>
      <c r="G72">
        <f>3+16+19+105+100+391+36</f>
        <v>670</v>
      </c>
      <c r="H72">
        <v>0</v>
      </c>
      <c r="I72">
        <v>0</v>
      </c>
      <c r="J72">
        <v>0</v>
      </c>
      <c r="K72" t="s">
        <v>95</v>
      </c>
      <c r="L72">
        <v>125.5</v>
      </c>
      <c r="M72">
        <v>117</v>
      </c>
      <c r="N72" s="2">
        <v>46056</v>
      </c>
      <c r="O72" s="2">
        <v>46435</v>
      </c>
      <c r="P72" s="2">
        <v>46057</v>
      </c>
      <c r="Q72" t="s">
        <v>96</v>
      </c>
      <c r="R72">
        <v>12</v>
      </c>
      <c r="U72" t="s">
        <v>33</v>
      </c>
      <c r="V72" t="s">
        <v>329</v>
      </c>
    </row>
    <row r="73" spans="1:22" x14ac:dyDescent="0.3">
      <c r="A73" t="s">
        <v>145</v>
      </c>
      <c r="B73" t="s">
        <v>30</v>
      </c>
      <c r="C73" t="s">
        <v>45</v>
      </c>
      <c r="D73">
        <v>2</v>
      </c>
      <c r="E73">
        <v>2</v>
      </c>
      <c r="F73">
        <v>1003</v>
      </c>
      <c r="G73">
        <f>51+50</f>
        <v>101</v>
      </c>
      <c r="H73">
        <v>0</v>
      </c>
      <c r="I73">
        <v>0</v>
      </c>
      <c r="J73">
        <v>0</v>
      </c>
      <c r="K73">
        <v>15.2</v>
      </c>
      <c r="L73">
        <v>1003</v>
      </c>
      <c r="M73">
        <v>1000</v>
      </c>
      <c r="N73" s="2">
        <v>46056</v>
      </c>
      <c r="O73" s="2">
        <v>46147</v>
      </c>
      <c r="P73" s="2">
        <v>46056</v>
      </c>
      <c r="Q73" t="s">
        <v>27</v>
      </c>
      <c r="R73">
        <v>3</v>
      </c>
      <c r="S73">
        <v>37.9</v>
      </c>
      <c r="T73" t="s">
        <v>40</v>
      </c>
      <c r="U73" t="s">
        <v>33</v>
      </c>
      <c r="V73" t="s">
        <v>329</v>
      </c>
    </row>
    <row r="74" spans="1:22" x14ac:dyDescent="0.3">
      <c r="A74" t="s">
        <v>146</v>
      </c>
      <c r="B74" t="s">
        <v>30</v>
      </c>
      <c r="C74" t="s">
        <v>45</v>
      </c>
      <c r="D74">
        <v>3</v>
      </c>
      <c r="E74">
        <v>3</v>
      </c>
      <c r="F74">
        <v>1001</v>
      </c>
      <c r="G74">
        <f>11+7+10</f>
        <v>28</v>
      </c>
      <c r="H74">
        <v>0</v>
      </c>
      <c r="I74">
        <v>0</v>
      </c>
      <c r="J74">
        <v>0</v>
      </c>
      <c r="K74">
        <v>15.68</v>
      </c>
      <c r="L74">
        <v>1001</v>
      </c>
      <c r="M74">
        <v>1000</v>
      </c>
      <c r="N74" s="2">
        <v>46056</v>
      </c>
      <c r="O74" s="2">
        <v>46058</v>
      </c>
      <c r="P74" s="2">
        <v>46056</v>
      </c>
      <c r="Q74" t="s">
        <v>27</v>
      </c>
      <c r="R74">
        <v>3</v>
      </c>
      <c r="S74">
        <v>39.090000000000003</v>
      </c>
      <c r="T74" t="s">
        <v>40</v>
      </c>
      <c r="U74" t="s">
        <v>33</v>
      </c>
      <c r="V74" t="s">
        <v>329</v>
      </c>
    </row>
    <row r="75" spans="1:22" x14ac:dyDescent="0.3">
      <c r="A75" t="s">
        <v>147</v>
      </c>
      <c r="B75" t="s">
        <v>30</v>
      </c>
      <c r="C75" t="s">
        <v>94</v>
      </c>
      <c r="D75">
        <v>5</v>
      </c>
      <c r="E75">
        <v>4</v>
      </c>
      <c r="F75">
        <v>117</v>
      </c>
      <c r="G75">
        <f>3+22+105+110</f>
        <v>240</v>
      </c>
      <c r="H75">
        <v>125</v>
      </c>
      <c r="I75">
        <v>1</v>
      </c>
      <c r="J75">
        <v>11</v>
      </c>
      <c r="K75" t="s">
        <v>95</v>
      </c>
      <c r="L75">
        <v>121</v>
      </c>
      <c r="M75">
        <v>125</v>
      </c>
      <c r="N75" s="2">
        <v>46055</v>
      </c>
      <c r="O75" s="2">
        <v>46434</v>
      </c>
      <c r="P75" s="2">
        <v>46056</v>
      </c>
      <c r="Q75" t="s">
        <v>96</v>
      </c>
      <c r="R75">
        <v>12</v>
      </c>
      <c r="U75" t="s">
        <v>33</v>
      </c>
      <c r="V75" t="s">
        <v>329</v>
      </c>
    </row>
    <row r="76" spans="1:22" x14ac:dyDescent="0.3">
      <c r="A76" t="s">
        <v>148</v>
      </c>
      <c r="B76" t="s">
        <v>30</v>
      </c>
      <c r="C76" t="s">
        <v>94</v>
      </c>
      <c r="D76">
        <v>3</v>
      </c>
      <c r="E76">
        <v>3</v>
      </c>
      <c r="F76">
        <v>108</v>
      </c>
      <c r="G76">
        <f>22+115+1</f>
        <v>138</v>
      </c>
      <c r="H76">
        <v>0</v>
      </c>
      <c r="I76">
        <v>0</v>
      </c>
      <c r="J76">
        <v>0</v>
      </c>
      <c r="K76" t="s">
        <v>95</v>
      </c>
      <c r="L76">
        <v>131</v>
      </c>
      <c r="M76">
        <v>131</v>
      </c>
      <c r="N76" s="2">
        <v>46051</v>
      </c>
      <c r="O76" s="2">
        <v>46430</v>
      </c>
      <c r="P76" s="2">
        <v>46052</v>
      </c>
      <c r="Q76" t="s">
        <v>96</v>
      </c>
      <c r="R76">
        <v>12</v>
      </c>
      <c r="U76" t="s">
        <v>33</v>
      </c>
      <c r="V76" t="s">
        <v>329</v>
      </c>
    </row>
    <row r="77" spans="1:22" x14ac:dyDescent="0.3">
      <c r="A77" t="s">
        <v>149</v>
      </c>
      <c r="B77" t="s">
        <v>30</v>
      </c>
      <c r="C77" t="s">
        <v>94</v>
      </c>
      <c r="D77">
        <v>5</v>
      </c>
      <c r="E77">
        <v>4</v>
      </c>
      <c r="F77">
        <v>111</v>
      </c>
      <c r="G77">
        <f>12+15+15+105</f>
        <v>147</v>
      </c>
      <c r="H77">
        <v>129</v>
      </c>
      <c r="I77">
        <v>1</v>
      </c>
      <c r="J77">
        <v>102</v>
      </c>
      <c r="K77" t="s">
        <v>95</v>
      </c>
      <c r="L77">
        <v>120</v>
      </c>
      <c r="M77">
        <v>127</v>
      </c>
      <c r="N77" s="2">
        <v>46050</v>
      </c>
      <c r="O77" s="2">
        <v>46429</v>
      </c>
      <c r="P77" s="2">
        <v>46051</v>
      </c>
      <c r="Q77" t="s">
        <v>96</v>
      </c>
      <c r="R77">
        <v>12</v>
      </c>
      <c r="U77" t="s">
        <v>33</v>
      </c>
      <c r="V77" t="s">
        <v>329</v>
      </c>
    </row>
    <row r="78" spans="1:22" x14ac:dyDescent="0.3">
      <c r="A78" t="s">
        <v>150</v>
      </c>
      <c r="B78" t="s">
        <v>30</v>
      </c>
      <c r="C78" t="s">
        <v>45</v>
      </c>
      <c r="D78">
        <v>6</v>
      </c>
      <c r="E78">
        <v>6</v>
      </c>
      <c r="F78">
        <v>1010</v>
      </c>
      <c r="G78">
        <f>100+50+50+302+555+10</f>
        <v>1067</v>
      </c>
      <c r="H78">
        <v>0</v>
      </c>
      <c r="I78">
        <v>0</v>
      </c>
      <c r="J78">
        <v>0</v>
      </c>
      <c r="K78">
        <v>15.18</v>
      </c>
      <c r="L78">
        <v>1010</v>
      </c>
      <c r="M78">
        <v>1000</v>
      </c>
      <c r="N78" s="2">
        <v>46051</v>
      </c>
      <c r="O78" s="2">
        <v>46232</v>
      </c>
      <c r="P78" s="2">
        <v>46051</v>
      </c>
      <c r="Q78" t="s">
        <v>27</v>
      </c>
      <c r="R78">
        <v>6</v>
      </c>
      <c r="S78">
        <v>39.83</v>
      </c>
      <c r="T78" t="s">
        <v>40</v>
      </c>
      <c r="U78" t="s">
        <v>33</v>
      </c>
      <c r="V78" t="s">
        <v>329</v>
      </c>
    </row>
    <row r="79" spans="1:22" x14ac:dyDescent="0.3">
      <c r="A79" t="s">
        <v>151</v>
      </c>
      <c r="B79" t="s">
        <v>30</v>
      </c>
      <c r="C79" t="s">
        <v>94</v>
      </c>
      <c r="D79">
        <v>4</v>
      </c>
      <c r="E79">
        <v>4</v>
      </c>
      <c r="F79">
        <v>122</v>
      </c>
      <c r="G79">
        <f>12+1+200+42</f>
        <v>255</v>
      </c>
      <c r="H79">
        <v>0</v>
      </c>
      <c r="I79">
        <v>0</v>
      </c>
      <c r="J79">
        <v>0</v>
      </c>
      <c r="K79" t="s">
        <v>95</v>
      </c>
      <c r="L79">
        <v>126.5</v>
      </c>
      <c r="M79">
        <v>122</v>
      </c>
      <c r="N79" s="2">
        <v>46048</v>
      </c>
      <c r="O79" s="2">
        <v>46427</v>
      </c>
      <c r="P79" s="2">
        <v>46049</v>
      </c>
      <c r="Q79" t="s">
        <v>96</v>
      </c>
      <c r="R79">
        <v>12</v>
      </c>
      <c r="U79" t="s">
        <v>33</v>
      </c>
      <c r="V79" t="s">
        <v>329</v>
      </c>
    </row>
    <row r="80" spans="1:22" x14ac:dyDescent="0.3">
      <c r="A80" t="s">
        <v>152</v>
      </c>
      <c r="B80" t="s">
        <v>30</v>
      </c>
      <c r="C80" t="s">
        <v>94</v>
      </c>
      <c r="D80">
        <v>7</v>
      </c>
      <c r="E80">
        <v>5</v>
      </c>
      <c r="F80">
        <v>120</v>
      </c>
      <c r="G80">
        <f>5+20+20+100+200</f>
        <v>345</v>
      </c>
      <c r="H80">
        <v>129</v>
      </c>
      <c r="I80">
        <v>2</v>
      </c>
      <c r="J80">
        <f>3+17</f>
        <v>20</v>
      </c>
      <c r="K80" t="s">
        <v>95</v>
      </c>
      <c r="L80">
        <v>124.5</v>
      </c>
      <c r="M80">
        <v>120</v>
      </c>
      <c r="N80" s="2">
        <v>46043</v>
      </c>
      <c r="O80" s="2">
        <v>46057</v>
      </c>
      <c r="P80" s="2">
        <v>46044</v>
      </c>
      <c r="Q80" t="s">
        <v>96</v>
      </c>
      <c r="R80">
        <v>12</v>
      </c>
      <c r="U80" t="s">
        <v>33</v>
      </c>
      <c r="V80" t="s">
        <v>329</v>
      </c>
    </row>
    <row r="81" spans="1:22" x14ac:dyDescent="0.3">
      <c r="A81" t="s">
        <v>153</v>
      </c>
      <c r="B81" t="s">
        <v>30</v>
      </c>
      <c r="C81" t="s">
        <v>94</v>
      </c>
      <c r="D81">
        <v>15</v>
      </c>
      <c r="E81">
        <v>6</v>
      </c>
      <c r="F81">
        <v>117</v>
      </c>
      <c r="G81">
        <f>1+24+21+200+36+1</f>
        <v>283</v>
      </c>
      <c r="H81">
        <v>122</v>
      </c>
      <c r="I81">
        <f>D81-E81</f>
        <v>9</v>
      </c>
      <c r="J81">
        <f>10*8+15</f>
        <v>95</v>
      </c>
      <c r="K81" t="s">
        <v>95</v>
      </c>
      <c r="L81">
        <v>119.5</v>
      </c>
      <c r="M81">
        <v>117</v>
      </c>
      <c r="N81" s="2">
        <v>46041</v>
      </c>
      <c r="O81" s="2">
        <v>46420</v>
      </c>
      <c r="P81" s="2">
        <v>46042</v>
      </c>
      <c r="Q81" t="s">
        <v>96</v>
      </c>
      <c r="R81">
        <v>12</v>
      </c>
      <c r="U81" t="s">
        <v>33</v>
      </c>
      <c r="V81" t="s">
        <v>329</v>
      </c>
    </row>
    <row r="82" spans="1:22" x14ac:dyDescent="0.3">
      <c r="A82" t="s">
        <v>154</v>
      </c>
      <c r="B82" t="s">
        <v>30</v>
      </c>
      <c r="C82" t="s">
        <v>94</v>
      </c>
      <c r="D82">
        <v>7</v>
      </c>
      <c r="E82">
        <v>6</v>
      </c>
      <c r="F82">
        <v>118</v>
      </c>
      <c r="G82">
        <f>1+1+18+25+100+200</f>
        <v>345</v>
      </c>
      <c r="H82">
        <v>130</v>
      </c>
      <c r="I82">
        <v>1</v>
      </c>
      <c r="J82">
        <v>2</v>
      </c>
      <c r="K82" t="s">
        <v>95</v>
      </c>
      <c r="L82">
        <v>124</v>
      </c>
      <c r="M82">
        <v>118</v>
      </c>
      <c r="N82" s="2">
        <v>46038</v>
      </c>
      <c r="O82" s="2">
        <v>46419</v>
      </c>
      <c r="P82" s="2">
        <v>46041</v>
      </c>
      <c r="Q82" t="s">
        <v>96</v>
      </c>
      <c r="R82">
        <v>12</v>
      </c>
      <c r="U82" t="s">
        <v>33</v>
      </c>
      <c r="V82" t="s">
        <v>329</v>
      </c>
    </row>
    <row r="83" spans="1:22" x14ac:dyDescent="0.3">
      <c r="A83" t="s">
        <v>155</v>
      </c>
      <c r="B83" t="s">
        <v>30</v>
      </c>
      <c r="C83" t="s">
        <v>94</v>
      </c>
      <c r="D83">
        <v>6</v>
      </c>
      <c r="E83">
        <v>6</v>
      </c>
      <c r="F83">
        <v>118</v>
      </c>
      <c r="G83">
        <f>2+10+25+100+200+150</f>
        <v>487</v>
      </c>
      <c r="H83">
        <v>0</v>
      </c>
      <c r="I83">
        <v>0</v>
      </c>
      <c r="J83">
        <v>0</v>
      </c>
      <c r="K83" t="s">
        <v>95</v>
      </c>
      <c r="L83">
        <v>128.5</v>
      </c>
      <c r="M83">
        <v>118</v>
      </c>
      <c r="N83" s="2">
        <v>46037</v>
      </c>
      <c r="O83" s="2">
        <v>46416</v>
      </c>
      <c r="P83" s="2">
        <v>46038</v>
      </c>
      <c r="Q83" t="s">
        <v>96</v>
      </c>
      <c r="R83">
        <v>12</v>
      </c>
      <c r="U83" t="s">
        <v>33</v>
      </c>
      <c r="V83" t="s">
        <v>329</v>
      </c>
    </row>
    <row r="84" spans="1:22" x14ac:dyDescent="0.3">
      <c r="A84" t="s">
        <v>156</v>
      </c>
      <c r="B84" t="s">
        <v>157</v>
      </c>
      <c r="C84" t="s">
        <v>45</v>
      </c>
      <c r="D84">
        <v>12</v>
      </c>
      <c r="E84">
        <v>7</v>
      </c>
      <c r="F84">
        <v>1000</v>
      </c>
      <c r="G84">
        <f>38+20+505+78+32+500+555</f>
        <v>1728</v>
      </c>
      <c r="H84">
        <v>1034</v>
      </c>
      <c r="I84">
        <f>D84-E84</f>
        <v>5</v>
      </c>
      <c r="J84">
        <f>5+15+12+20+1</f>
        <v>53</v>
      </c>
      <c r="K84">
        <v>18.75</v>
      </c>
      <c r="L84">
        <v>1017</v>
      </c>
      <c r="M84">
        <v>1000</v>
      </c>
      <c r="N84" s="2">
        <v>46020</v>
      </c>
      <c r="O84" s="2">
        <v>46385</v>
      </c>
      <c r="P84" s="2">
        <v>46021</v>
      </c>
      <c r="Q84" t="s">
        <v>27</v>
      </c>
      <c r="R84">
        <v>12</v>
      </c>
      <c r="S84">
        <v>3.08</v>
      </c>
      <c r="T84" t="s">
        <v>39</v>
      </c>
      <c r="U84" t="s">
        <v>158</v>
      </c>
      <c r="V84" t="s">
        <v>329</v>
      </c>
    </row>
    <row r="85" spans="1:22" x14ac:dyDescent="0.3">
      <c r="A85" t="s">
        <v>159</v>
      </c>
      <c r="B85" t="s">
        <v>47</v>
      </c>
      <c r="C85" t="s">
        <v>45</v>
      </c>
      <c r="D85">
        <v>7</v>
      </c>
      <c r="E85">
        <v>7</v>
      </c>
      <c r="F85">
        <v>1008</v>
      </c>
      <c r="G85">
        <f>1+1+1+500+100+532+13</f>
        <v>1148</v>
      </c>
      <c r="H85">
        <v>0</v>
      </c>
      <c r="I85">
        <v>0</v>
      </c>
      <c r="J85">
        <v>0</v>
      </c>
      <c r="K85">
        <v>18.5</v>
      </c>
      <c r="L85">
        <v>1008</v>
      </c>
      <c r="M85">
        <v>1000</v>
      </c>
      <c r="N85" s="2">
        <v>46021</v>
      </c>
      <c r="O85" s="2">
        <v>46020</v>
      </c>
      <c r="P85" s="2">
        <v>46021</v>
      </c>
      <c r="Q85" t="s">
        <v>27</v>
      </c>
      <c r="R85">
        <v>12</v>
      </c>
      <c r="S85">
        <v>3.04</v>
      </c>
      <c r="T85" t="s">
        <v>39</v>
      </c>
      <c r="U85" t="s">
        <v>49</v>
      </c>
      <c r="V85" t="s">
        <v>329</v>
      </c>
    </row>
    <row r="86" spans="1:22" x14ac:dyDescent="0.3">
      <c r="A86" t="s">
        <v>160</v>
      </c>
      <c r="B86" t="s">
        <v>161</v>
      </c>
      <c r="C86" t="s">
        <v>45</v>
      </c>
      <c r="D86">
        <v>15</v>
      </c>
      <c r="E86">
        <v>13</v>
      </c>
      <c r="F86">
        <v>1000</v>
      </c>
      <c r="G86">
        <f>1+1+10+50+100+11+1+48+111+29+13+1+136</f>
        <v>512</v>
      </c>
      <c r="H86">
        <v>1010</v>
      </c>
      <c r="I86">
        <v>2</v>
      </c>
      <c r="J86">
        <f>289+10</f>
        <v>299</v>
      </c>
      <c r="K86">
        <v>21.5</v>
      </c>
      <c r="L86">
        <v>1005</v>
      </c>
      <c r="M86">
        <v>1000</v>
      </c>
      <c r="N86" s="2">
        <v>46015</v>
      </c>
      <c r="O86" s="2">
        <v>46197</v>
      </c>
      <c r="P86" s="2">
        <v>46016</v>
      </c>
      <c r="Q86" t="s">
        <v>27</v>
      </c>
      <c r="R86">
        <v>6</v>
      </c>
      <c r="S86">
        <v>6.48</v>
      </c>
      <c r="T86" t="s">
        <v>39</v>
      </c>
      <c r="U86" t="s">
        <v>162</v>
      </c>
      <c r="V86" t="s">
        <v>329</v>
      </c>
    </row>
    <row r="87" spans="1:22" x14ac:dyDescent="0.3">
      <c r="A87" t="s">
        <v>163</v>
      </c>
      <c r="B87" t="s">
        <v>164</v>
      </c>
      <c r="C87" t="s">
        <v>45</v>
      </c>
      <c r="D87">
        <v>6</v>
      </c>
      <c r="E87">
        <v>5</v>
      </c>
      <c r="F87">
        <v>757</v>
      </c>
      <c r="G87">
        <f>2+2+2+447+42</f>
        <v>495</v>
      </c>
      <c r="H87">
        <v>900</v>
      </c>
      <c r="I87">
        <v>1</v>
      </c>
      <c r="J87">
        <v>964</v>
      </c>
      <c r="K87">
        <v>21</v>
      </c>
      <c r="L87">
        <v>828.5</v>
      </c>
      <c r="M87">
        <v>750</v>
      </c>
      <c r="N87" s="2">
        <v>46014</v>
      </c>
      <c r="O87" s="2">
        <v>46379</v>
      </c>
      <c r="P87" s="2">
        <v>46015</v>
      </c>
      <c r="Q87" t="s">
        <v>27</v>
      </c>
      <c r="R87">
        <v>12</v>
      </c>
      <c r="S87">
        <v>5.18</v>
      </c>
      <c r="T87" t="s">
        <v>39</v>
      </c>
      <c r="V87" t="s">
        <v>329</v>
      </c>
    </row>
    <row r="88" spans="1:22" x14ac:dyDescent="0.3">
      <c r="A88" t="s">
        <v>165</v>
      </c>
      <c r="B88" t="s">
        <v>30</v>
      </c>
      <c r="C88" t="s">
        <v>45</v>
      </c>
      <c r="D88">
        <v>13</v>
      </c>
      <c r="E88">
        <v>7</v>
      </c>
      <c r="F88">
        <v>970</v>
      </c>
      <c r="G88">
        <f>20+10+10+1000+555+5</f>
        <v>1600</v>
      </c>
      <c r="H88">
        <v>1005</v>
      </c>
      <c r="I88">
        <f>D88-E88</f>
        <v>6</v>
      </c>
      <c r="J88">
        <f>5+1+3+7+5+13+1</f>
        <v>35</v>
      </c>
      <c r="K88">
        <v>14</v>
      </c>
      <c r="L88">
        <v>987.5</v>
      </c>
      <c r="M88">
        <v>1000</v>
      </c>
      <c r="N88" s="2">
        <v>46011</v>
      </c>
      <c r="O88" s="2">
        <v>47107</v>
      </c>
      <c r="P88" s="2">
        <v>46013</v>
      </c>
      <c r="Q88" t="s">
        <v>27</v>
      </c>
      <c r="R88">
        <v>36</v>
      </c>
      <c r="S88">
        <v>52.55</v>
      </c>
      <c r="T88" t="s">
        <v>40</v>
      </c>
      <c r="U88" t="s">
        <v>33</v>
      </c>
      <c r="V88" t="s">
        <v>329</v>
      </c>
    </row>
    <row r="89" spans="1:22" x14ac:dyDescent="0.3">
      <c r="A89" t="s">
        <v>166</v>
      </c>
      <c r="B89" t="s">
        <v>112</v>
      </c>
      <c r="C89" t="s">
        <v>45</v>
      </c>
      <c r="D89">
        <v>12</v>
      </c>
      <c r="E89">
        <v>0</v>
      </c>
      <c r="F89">
        <v>0</v>
      </c>
      <c r="G89">
        <v>0</v>
      </c>
      <c r="H89">
        <v>850</v>
      </c>
      <c r="I89">
        <v>12</v>
      </c>
      <c r="J89">
        <f>9+29+90+18+176+250+1+13+3987+49+20+3</f>
        <v>4645</v>
      </c>
      <c r="K89">
        <v>20.5</v>
      </c>
      <c r="L89">
        <v>850</v>
      </c>
      <c r="M89">
        <v>1000</v>
      </c>
      <c r="N89" s="2">
        <v>46007</v>
      </c>
      <c r="O89" s="2">
        <v>46372</v>
      </c>
      <c r="P89" s="2">
        <v>46008</v>
      </c>
      <c r="Q89" t="s">
        <v>27</v>
      </c>
      <c r="R89">
        <v>12</v>
      </c>
      <c r="S89">
        <v>10.67</v>
      </c>
      <c r="T89" t="s">
        <v>39</v>
      </c>
      <c r="U89" t="s">
        <v>125</v>
      </c>
      <c r="V89" t="s">
        <v>329</v>
      </c>
    </row>
    <row r="90" spans="1:22" x14ac:dyDescent="0.3">
      <c r="A90" t="s">
        <v>167</v>
      </c>
      <c r="B90" t="s">
        <v>47</v>
      </c>
      <c r="C90" t="s">
        <v>45</v>
      </c>
      <c r="D90">
        <v>16</v>
      </c>
      <c r="E90">
        <v>11</v>
      </c>
      <c r="F90">
        <v>1016</v>
      </c>
      <c r="G90">
        <f>4+10+28+6+5+100+1+100+50+500+200</f>
        <v>1004</v>
      </c>
      <c r="H90">
        <v>1100</v>
      </c>
      <c r="I90">
        <v>5</v>
      </c>
      <c r="J90">
        <f>5</f>
        <v>5</v>
      </c>
      <c r="K90">
        <v>18.5</v>
      </c>
      <c r="L90">
        <v>1058</v>
      </c>
      <c r="M90">
        <v>1000</v>
      </c>
      <c r="N90" s="2">
        <v>46006</v>
      </c>
      <c r="O90" s="2">
        <v>46371</v>
      </c>
      <c r="P90" s="2">
        <v>46007</v>
      </c>
      <c r="Q90" t="s">
        <v>27</v>
      </c>
      <c r="R90">
        <v>12</v>
      </c>
      <c r="S90">
        <v>10.14</v>
      </c>
      <c r="T90" t="s">
        <v>39</v>
      </c>
      <c r="U90" t="s">
        <v>49</v>
      </c>
      <c r="V90" t="s">
        <v>329</v>
      </c>
    </row>
    <row r="91" spans="1:22" x14ac:dyDescent="0.3">
      <c r="A91" t="s">
        <v>168</v>
      </c>
      <c r="B91" t="s">
        <v>170</v>
      </c>
      <c r="C91" t="s">
        <v>45</v>
      </c>
      <c r="D91">
        <v>7</v>
      </c>
      <c r="E91">
        <v>7</v>
      </c>
      <c r="F91">
        <v>1070</v>
      </c>
      <c r="G91">
        <f>500+100+50+50+116+200+10</f>
        <v>1026</v>
      </c>
      <c r="H91">
        <v>0</v>
      </c>
      <c r="I91">
        <v>0</v>
      </c>
      <c r="J91">
        <v>0</v>
      </c>
      <c r="K91">
        <v>19.5</v>
      </c>
      <c r="L91">
        <v>1070</v>
      </c>
      <c r="M91">
        <v>1000</v>
      </c>
      <c r="N91" s="2">
        <v>46003</v>
      </c>
      <c r="O91" s="2">
        <v>46367</v>
      </c>
      <c r="P91" s="2">
        <v>46006</v>
      </c>
      <c r="Q91" t="s">
        <v>27</v>
      </c>
      <c r="R91">
        <v>12</v>
      </c>
      <c r="S91">
        <v>76.930000000000007</v>
      </c>
      <c r="T91" t="s">
        <v>40</v>
      </c>
      <c r="U91" t="s">
        <v>169</v>
      </c>
      <c r="V91" t="s">
        <v>329</v>
      </c>
    </row>
    <row r="92" spans="1:22" x14ac:dyDescent="0.3">
      <c r="A92" t="s">
        <v>171</v>
      </c>
      <c r="B92" t="s">
        <v>172</v>
      </c>
      <c r="C92" t="s">
        <v>45</v>
      </c>
      <c r="D92">
        <v>27</v>
      </c>
      <c r="E92">
        <v>15</v>
      </c>
      <c r="F92">
        <v>1015</v>
      </c>
      <c r="G92">
        <f>10+56+31+31+144+100+100+303+372+6+306+675+50+100+209</f>
        <v>2493</v>
      </c>
      <c r="H92">
        <v>1092</v>
      </c>
      <c r="I92">
        <v>12</v>
      </c>
      <c r="J92">
        <f>114+100+10+7+5+3+1+10+10+10+10</f>
        <v>280</v>
      </c>
      <c r="K92">
        <v>21</v>
      </c>
      <c r="L92">
        <v>1053.5</v>
      </c>
      <c r="M92">
        <v>1000</v>
      </c>
      <c r="N92" s="2">
        <v>46003</v>
      </c>
      <c r="O92" s="2">
        <v>46367</v>
      </c>
      <c r="P92" s="2">
        <v>46006</v>
      </c>
      <c r="Q92" t="s">
        <v>27</v>
      </c>
      <c r="R92">
        <v>12</v>
      </c>
      <c r="S92">
        <v>12.66</v>
      </c>
      <c r="T92" t="s">
        <v>39</v>
      </c>
      <c r="V92" t="s">
        <v>329</v>
      </c>
    </row>
    <row r="93" spans="1:22" x14ac:dyDescent="0.3">
      <c r="A93" t="s">
        <v>173</v>
      </c>
      <c r="B93" t="s">
        <v>112</v>
      </c>
      <c r="C93" t="s">
        <v>45</v>
      </c>
      <c r="D93">
        <v>18</v>
      </c>
      <c r="E93">
        <v>1</v>
      </c>
      <c r="F93">
        <v>800</v>
      </c>
      <c r="G93">
        <v>462</v>
      </c>
      <c r="H93">
        <v>875</v>
      </c>
      <c r="I93">
        <v>17</v>
      </c>
      <c r="J93">
        <f>441+100+11+1+39+300+2452+1420+1+580+2205+4212+5081+6+10+6+1</f>
        <v>16866</v>
      </c>
      <c r="K93">
        <v>20.5</v>
      </c>
      <c r="L93">
        <v>837.5</v>
      </c>
      <c r="M93">
        <v>1000</v>
      </c>
      <c r="N93" s="2">
        <v>45999</v>
      </c>
      <c r="O93" s="2">
        <v>45999</v>
      </c>
      <c r="P93" s="2">
        <v>46000</v>
      </c>
      <c r="Q93" t="s">
        <v>27</v>
      </c>
      <c r="R93">
        <v>12</v>
      </c>
      <c r="S93">
        <v>15.16</v>
      </c>
      <c r="T93" t="s">
        <v>39</v>
      </c>
      <c r="U93" t="s">
        <v>125</v>
      </c>
      <c r="V93" t="s">
        <v>329</v>
      </c>
    </row>
    <row r="94" spans="1:22" x14ac:dyDescent="0.3">
      <c r="A94" t="s">
        <v>174</v>
      </c>
      <c r="B94" t="s">
        <v>175</v>
      </c>
      <c r="C94" t="s">
        <v>45</v>
      </c>
      <c r="D94">
        <v>7</v>
      </c>
      <c r="E94">
        <v>5</v>
      </c>
      <c r="F94">
        <v>1000</v>
      </c>
      <c r="G94">
        <f>2+12+60+40+13</f>
        <v>127</v>
      </c>
      <c r="H94">
        <v>1049</v>
      </c>
      <c r="I94">
        <v>2</v>
      </c>
      <c r="J94">
        <f>54+28</f>
        <v>82</v>
      </c>
      <c r="K94">
        <v>21.25</v>
      </c>
      <c r="L94">
        <v>1024.5</v>
      </c>
      <c r="M94">
        <v>1000</v>
      </c>
      <c r="N94" s="2">
        <v>45989</v>
      </c>
      <c r="O94" s="2">
        <v>46353</v>
      </c>
      <c r="P94" s="2">
        <v>45992</v>
      </c>
      <c r="Q94" t="s">
        <v>27</v>
      </c>
      <c r="R94">
        <v>12</v>
      </c>
      <c r="S94">
        <v>4.66</v>
      </c>
      <c r="T94" t="s">
        <v>39</v>
      </c>
      <c r="V94" t="s">
        <v>329</v>
      </c>
    </row>
    <row r="95" spans="1:22" x14ac:dyDescent="0.3">
      <c r="A95" t="s">
        <v>176</v>
      </c>
      <c r="B95" t="s">
        <v>177</v>
      </c>
      <c r="C95" t="s">
        <v>45</v>
      </c>
      <c r="D95">
        <v>9</v>
      </c>
      <c r="E95">
        <v>7</v>
      </c>
      <c r="F95">
        <v>1001</v>
      </c>
      <c r="G95">
        <f>30+91+15+47+3+40+3</f>
        <v>229</v>
      </c>
      <c r="H95">
        <v>1160</v>
      </c>
      <c r="I95">
        <v>2</v>
      </c>
      <c r="J95">
        <v>2</v>
      </c>
      <c r="K95">
        <v>20</v>
      </c>
      <c r="L95">
        <v>1080.5</v>
      </c>
      <c r="M95">
        <v>1000</v>
      </c>
      <c r="N95" s="2">
        <v>45989</v>
      </c>
      <c r="O95" s="2">
        <v>46170</v>
      </c>
      <c r="P95" s="2">
        <v>45992</v>
      </c>
      <c r="Q95" t="s">
        <v>27</v>
      </c>
      <c r="R95">
        <v>6</v>
      </c>
      <c r="S95">
        <v>3.84</v>
      </c>
      <c r="T95" t="s">
        <v>39</v>
      </c>
      <c r="V95" t="s">
        <v>329</v>
      </c>
    </row>
    <row r="96" spans="1:22" x14ac:dyDescent="0.3">
      <c r="A96" t="s">
        <v>178</v>
      </c>
      <c r="B96" t="s">
        <v>112</v>
      </c>
      <c r="C96" t="s">
        <v>45</v>
      </c>
      <c r="D96">
        <v>31</v>
      </c>
      <c r="E96">
        <v>0</v>
      </c>
      <c r="F96">
        <v>0</v>
      </c>
      <c r="G96">
        <v>0</v>
      </c>
      <c r="H96">
        <v>800</v>
      </c>
      <c r="I96">
        <v>31</v>
      </c>
      <c r="J96">
        <f>2864+50+100+102+43+1+861+1+1+25+1+7+1900+1+2+11+47+65+10+6344+9524+3+100+398+13+10+10+10+10+550+1</f>
        <v>23065</v>
      </c>
      <c r="K96">
        <v>20.5</v>
      </c>
      <c r="L96">
        <v>800</v>
      </c>
      <c r="M96">
        <v>1000</v>
      </c>
      <c r="N96" s="2">
        <v>45987</v>
      </c>
      <c r="O96" s="2">
        <v>46352</v>
      </c>
      <c r="P96" s="2">
        <v>45988</v>
      </c>
      <c r="Q96" t="s">
        <v>27</v>
      </c>
      <c r="R96">
        <v>12</v>
      </c>
      <c r="S96">
        <v>4.49</v>
      </c>
      <c r="T96" t="s">
        <v>39</v>
      </c>
      <c r="U96" t="s">
        <v>125</v>
      </c>
      <c r="V96" t="s">
        <v>329</v>
      </c>
    </row>
    <row r="97" spans="1:22" x14ac:dyDescent="0.3">
      <c r="A97" t="s">
        <v>179</v>
      </c>
      <c r="B97" t="s">
        <v>89</v>
      </c>
      <c r="C97" t="s">
        <v>45</v>
      </c>
      <c r="D97">
        <v>21</v>
      </c>
      <c r="E97">
        <v>10</v>
      </c>
      <c r="F97">
        <v>1010</v>
      </c>
      <c r="G97">
        <f>58+200+154+5+300+45+20+88+500+46</f>
        <v>1416</v>
      </c>
      <c r="H97">
        <v>1032</v>
      </c>
      <c r="I97">
        <v>11</v>
      </c>
      <c r="J97">
        <f>1+250+2+100+10+5+3+3+1+3+101</f>
        <v>479</v>
      </c>
      <c r="K97">
        <v>20</v>
      </c>
      <c r="L97">
        <v>1021</v>
      </c>
      <c r="M97">
        <v>1000</v>
      </c>
      <c r="N97" s="2">
        <v>45980</v>
      </c>
      <c r="O97" s="2">
        <v>46253</v>
      </c>
      <c r="P97" s="2">
        <v>45981</v>
      </c>
      <c r="Q97" t="s">
        <v>27</v>
      </c>
      <c r="R97">
        <v>9</v>
      </c>
      <c r="T97" t="s">
        <v>39</v>
      </c>
      <c r="U97" t="s">
        <v>90</v>
      </c>
      <c r="V97" t="s">
        <v>329</v>
      </c>
    </row>
    <row r="98" spans="1:22" x14ac:dyDescent="0.3">
      <c r="A98" t="s">
        <v>180</v>
      </c>
      <c r="B98" t="s">
        <v>181</v>
      </c>
      <c r="C98" t="s">
        <v>45</v>
      </c>
      <c r="D98">
        <v>15</v>
      </c>
      <c r="E98">
        <v>12</v>
      </c>
      <c r="F98">
        <v>1008</v>
      </c>
      <c r="G98">
        <f>200+30+100+32+50+36+153+5+2+35+2+1</f>
        <v>646</v>
      </c>
      <c r="H98">
        <v>1100</v>
      </c>
      <c r="I98">
        <v>3</v>
      </c>
      <c r="J98">
        <f>1+1+5</f>
        <v>7</v>
      </c>
      <c r="K98">
        <v>20.5</v>
      </c>
      <c r="L98">
        <v>1054</v>
      </c>
      <c r="M98">
        <v>1000</v>
      </c>
      <c r="N98" s="2">
        <v>45975</v>
      </c>
      <c r="O98" s="2">
        <v>46309</v>
      </c>
      <c r="P98" s="2">
        <v>45978</v>
      </c>
      <c r="Q98" t="s">
        <v>27</v>
      </c>
      <c r="R98">
        <v>11</v>
      </c>
      <c r="T98" t="s">
        <v>39</v>
      </c>
      <c r="U98" t="s">
        <v>59</v>
      </c>
      <c r="V98" t="s">
        <v>329</v>
      </c>
    </row>
    <row r="99" spans="1:22" x14ac:dyDescent="0.3">
      <c r="A99" t="s">
        <v>182</v>
      </c>
      <c r="B99" t="s">
        <v>183</v>
      </c>
      <c r="C99" t="s">
        <v>45</v>
      </c>
      <c r="D99">
        <v>2</v>
      </c>
      <c r="E99">
        <v>1</v>
      </c>
      <c r="F99" s="1">
        <v>450000</v>
      </c>
      <c r="G99">
        <v>1</v>
      </c>
      <c r="H99">
        <v>523562</v>
      </c>
      <c r="I99">
        <v>1</v>
      </c>
      <c r="J99">
        <v>10</v>
      </c>
      <c r="K99">
        <v>10</v>
      </c>
      <c r="L99">
        <v>486781</v>
      </c>
      <c r="M99">
        <v>500000</v>
      </c>
      <c r="N99" s="2">
        <v>45975</v>
      </c>
      <c r="O99" s="2">
        <v>46339</v>
      </c>
      <c r="P99" s="2">
        <v>45979</v>
      </c>
      <c r="Q99" t="s">
        <v>27</v>
      </c>
      <c r="R99">
        <v>12</v>
      </c>
      <c r="T99" t="s">
        <v>40</v>
      </c>
      <c r="U99" t="s">
        <v>184</v>
      </c>
      <c r="V99" t="s">
        <v>329</v>
      </c>
    </row>
    <row r="100" spans="1:22" x14ac:dyDescent="0.3">
      <c r="A100" t="s">
        <v>185</v>
      </c>
      <c r="B100" t="s">
        <v>51</v>
      </c>
      <c r="C100" t="s">
        <v>45</v>
      </c>
      <c r="D100">
        <v>25</v>
      </c>
      <c r="E100">
        <v>12</v>
      </c>
      <c r="F100">
        <v>1001</v>
      </c>
      <c r="G100">
        <f>34+591+10+3+3+2+5+45+2+500+2+20</f>
        <v>1217</v>
      </c>
      <c r="H100">
        <v>1040</v>
      </c>
      <c r="I100">
        <v>13</v>
      </c>
      <c r="J100">
        <f>10+23+30+20+200+10+10+10+4+10+10+5+3</f>
        <v>345</v>
      </c>
      <c r="K100">
        <v>21</v>
      </c>
      <c r="L100">
        <v>1020.5</v>
      </c>
      <c r="M100">
        <v>1000</v>
      </c>
      <c r="N100" s="2">
        <v>45975</v>
      </c>
      <c r="O100" s="2">
        <v>46339</v>
      </c>
      <c r="P100" s="2">
        <v>45975</v>
      </c>
      <c r="Q100" t="s">
        <v>27</v>
      </c>
      <c r="R100">
        <v>12</v>
      </c>
      <c r="T100" t="s">
        <v>39</v>
      </c>
      <c r="V100" t="s">
        <v>329</v>
      </c>
    </row>
    <row r="101" spans="1:22" x14ac:dyDescent="0.3">
      <c r="A101" t="s">
        <v>186</v>
      </c>
      <c r="B101" t="s">
        <v>187</v>
      </c>
      <c r="C101" t="s">
        <v>45</v>
      </c>
      <c r="D101">
        <v>21</v>
      </c>
      <c r="E101">
        <v>10</v>
      </c>
      <c r="F101">
        <v>1010</v>
      </c>
      <c r="G101">
        <f>13+1+7+101+45+20+2+19+460+101</f>
        <v>769</v>
      </c>
      <c r="H101">
        <v>1015</v>
      </c>
      <c r="I101">
        <v>11</v>
      </c>
      <c r="J101">
        <f>50+102+1033+10+5+100+10+7+5+3+1</f>
        <v>1326</v>
      </c>
      <c r="K101">
        <v>21</v>
      </c>
      <c r="L101">
        <v>1012.5</v>
      </c>
      <c r="M101">
        <v>1000</v>
      </c>
      <c r="N101" s="2">
        <v>45974</v>
      </c>
      <c r="O101" s="2">
        <v>46247</v>
      </c>
      <c r="P101" s="2">
        <v>45975</v>
      </c>
      <c r="Q101" t="s">
        <v>27</v>
      </c>
      <c r="R101">
        <v>9</v>
      </c>
      <c r="T101" t="s">
        <v>39</v>
      </c>
      <c r="V101" t="s">
        <v>329</v>
      </c>
    </row>
    <row r="102" spans="1:22" x14ac:dyDescent="0.3">
      <c r="A102" t="s">
        <v>188</v>
      </c>
      <c r="B102" t="s">
        <v>189</v>
      </c>
      <c r="C102" t="s">
        <v>45</v>
      </c>
      <c r="D102">
        <v>16</v>
      </c>
      <c r="E102">
        <v>7</v>
      </c>
      <c r="F102">
        <v>1008</v>
      </c>
      <c r="G102">
        <f>1+2+15+51+300+35+25</f>
        <v>429</v>
      </c>
      <c r="H102">
        <v>1017</v>
      </c>
      <c r="I102">
        <f>D102-E102</f>
        <v>9</v>
      </c>
      <c r="J102">
        <f>89+13+350+10+18+10+10+10+10</f>
        <v>520</v>
      </c>
      <c r="K102">
        <v>20</v>
      </c>
      <c r="L102">
        <v>1012.5</v>
      </c>
      <c r="M102">
        <v>1000</v>
      </c>
      <c r="N102" s="2">
        <v>45971</v>
      </c>
      <c r="O102" s="2">
        <v>45971</v>
      </c>
      <c r="P102" s="2">
        <v>45972</v>
      </c>
      <c r="Q102" t="s">
        <v>27</v>
      </c>
      <c r="R102">
        <v>12</v>
      </c>
      <c r="T102" t="s">
        <v>39</v>
      </c>
      <c r="U102" t="s">
        <v>190</v>
      </c>
      <c r="V102" t="s">
        <v>329</v>
      </c>
    </row>
    <row r="103" spans="1:22" x14ac:dyDescent="0.3">
      <c r="A103" t="s">
        <v>191</v>
      </c>
      <c r="B103" t="s">
        <v>192</v>
      </c>
      <c r="C103" t="s">
        <v>45</v>
      </c>
      <c r="D103">
        <v>30</v>
      </c>
      <c r="E103">
        <v>11</v>
      </c>
      <c r="F103">
        <v>1000</v>
      </c>
      <c r="G103">
        <f>300+10+6+645+5+47+250+61+17+250+510</f>
        <v>2101</v>
      </c>
      <c r="H103">
        <v>1003</v>
      </c>
      <c r="I103">
        <f>D103-E103</f>
        <v>19</v>
      </c>
      <c r="J103">
        <f>999+749+16+22+9+5+40+2+5+1+2+6+100+10+16+5+3+1+101</f>
        <v>2092</v>
      </c>
      <c r="K103">
        <v>19.5</v>
      </c>
      <c r="L103">
        <v>1001.5</v>
      </c>
      <c r="M103">
        <v>1000</v>
      </c>
      <c r="N103" s="2">
        <v>45958</v>
      </c>
      <c r="O103" s="2">
        <v>45958</v>
      </c>
      <c r="P103" s="2">
        <v>45959</v>
      </c>
      <c r="Q103" t="s">
        <v>27</v>
      </c>
      <c r="R103">
        <v>12</v>
      </c>
      <c r="T103" t="s">
        <v>39</v>
      </c>
      <c r="V103" t="s">
        <v>329</v>
      </c>
    </row>
    <row r="104" spans="1:22" x14ac:dyDescent="0.3">
      <c r="A104" t="s">
        <v>193</v>
      </c>
      <c r="B104" t="s">
        <v>112</v>
      </c>
      <c r="C104" t="s">
        <v>45</v>
      </c>
      <c r="D104">
        <v>24</v>
      </c>
      <c r="E104">
        <v>0</v>
      </c>
      <c r="F104">
        <v>0</v>
      </c>
      <c r="G104">
        <v>0</v>
      </c>
      <c r="H104">
        <v>800</v>
      </c>
      <c r="I104">
        <v>24</v>
      </c>
      <c r="J104">
        <f>5863+100+50+50+10+1525+45+349+169+11+5+223+830+48+100+105+2000+39+1981+9047+1+100+200+253</f>
        <v>23104</v>
      </c>
      <c r="K104">
        <v>21</v>
      </c>
      <c r="L104">
        <v>800</v>
      </c>
      <c r="M104">
        <v>1000</v>
      </c>
      <c r="N104" s="2">
        <v>45954</v>
      </c>
      <c r="O104" s="2">
        <v>46318</v>
      </c>
      <c r="P104" s="2">
        <v>45957</v>
      </c>
      <c r="Q104" t="s">
        <v>27</v>
      </c>
      <c r="R104">
        <v>12</v>
      </c>
      <c r="T104" t="s">
        <v>39</v>
      </c>
      <c r="U104" t="s">
        <v>125</v>
      </c>
      <c r="V104" t="s">
        <v>329</v>
      </c>
    </row>
    <row r="105" spans="1:22" x14ac:dyDescent="0.3">
      <c r="A105" t="s">
        <v>194</v>
      </c>
      <c r="B105" t="s">
        <v>175</v>
      </c>
      <c r="C105" t="s">
        <v>45</v>
      </c>
      <c r="D105">
        <v>20</v>
      </c>
      <c r="E105">
        <v>14</v>
      </c>
      <c r="F105">
        <v>999</v>
      </c>
      <c r="G105">
        <f>236+74+70+50+45+98+20+49+150+10+71+1+23+2</f>
        <v>899</v>
      </c>
      <c r="H105">
        <v>1000</v>
      </c>
      <c r="I105">
        <v>6</v>
      </c>
      <c r="J105">
        <f>1+1136+1+1+3+2</f>
        <v>1144</v>
      </c>
      <c r="K105">
        <v>20.5</v>
      </c>
      <c r="L105">
        <v>999.5</v>
      </c>
      <c r="M105">
        <v>1000</v>
      </c>
      <c r="N105" s="2">
        <v>45951</v>
      </c>
      <c r="O105" s="2">
        <v>45951</v>
      </c>
      <c r="P105" s="2">
        <v>45952</v>
      </c>
      <c r="Q105" t="s">
        <v>27</v>
      </c>
      <c r="R105">
        <v>12</v>
      </c>
      <c r="T105" t="s">
        <v>39</v>
      </c>
      <c r="V105" t="s">
        <v>329</v>
      </c>
    </row>
    <row r="106" spans="1:22" x14ac:dyDescent="0.3">
      <c r="A106" t="s">
        <v>195</v>
      </c>
      <c r="B106" t="s">
        <v>196</v>
      </c>
      <c r="C106" t="s">
        <v>45</v>
      </c>
      <c r="D106">
        <v>22</v>
      </c>
      <c r="E106">
        <v>12</v>
      </c>
      <c r="F106">
        <v>1000</v>
      </c>
      <c r="G106">
        <f>10+36+100+1000+19+5+100+302+5+20+6+50</f>
        <v>1653</v>
      </c>
      <c r="H106">
        <v>1024</v>
      </c>
      <c r="I106">
        <v>10</v>
      </c>
      <c r="J106">
        <f>1302+1+3+100+10+7+5+3+1+100</f>
        <v>1532</v>
      </c>
      <c r="K106">
        <v>19</v>
      </c>
      <c r="L106">
        <v>1012</v>
      </c>
      <c r="M106">
        <v>1000</v>
      </c>
      <c r="N106" s="2">
        <v>45947</v>
      </c>
      <c r="O106" s="2">
        <v>45946</v>
      </c>
      <c r="P106" s="2">
        <v>45950</v>
      </c>
      <c r="Q106" t="s">
        <v>27</v>
      </c>
      <c r="R106">
        <v>12</v>
      </c>
      <c r="T106" t="s">
        <v>39</v>
      </c>
      <c r="U106" t="s">
        <v>197</v>
      </c>
      <c r="V106" t="s">
        <v>329</v>
      </c>
    </row>
    <row r="107" spans="1:22" x14ac:dyDescent="0.3">
      <c r="A107" t="s">
        <v>198</v>
      </c>
      <c r="B107" t="s">
        <v>199</v>
      </c>
      <c r="C107" t="s">
        <v>45</v>
      </c>
      <c r="D107">
        <v>21</v>
      </c>
      <c r="E107">
        <v>17</v>
      </c>
      <c r="F107">
        <v>1002</v>
      </c>
      <c r="G107">
        <f>37+533+333+100+16+300+308+500+42+5+1+555+1+100+10+10+248</f>
        <v>3099</v>
      </c>
      <c r="H107">
        <v>1026</v>
      </c>
      <c r="I107">
        <v>4</v>
      </c>
      <c r="J107">
        <f>1+41+1+10</f>
        <v>53</v>
      </c>
      <c r="K107">
        <v>17.5</v>
      </c>
      <c r="L107">
        <v>1014</v>
      </c>
      <c r="M107">
        <v>1000</v>
      </c>
      <c r="N107" s="2">
        <v>45943</v>
      </c>
      <c r="O107" s="2">
        <v>46308</v>
      </c>
      <c r="P107" s="2">
        <v>45944</v>
      </c>
      <c r="Q107" t="s">
        <v>27</v>
      </c>
      <c r="R107">
        <v>12</v>
      </c>
      <c r="T107" t="s">
        <v>39</v>
      </c>
      <c r="U107" t="s">
        <v>200</v>
      </c>
      <c r="V107" t="s">
        <v>329</v>
      </c>
    </row>
    <row r="108" spans="1:22" x14ac:dyDescent="0.3">
      <c r="A108" t="s">
        <v>201</v>
      </c>
      <c r="B108" t="s">
        <v>30</v>
      </c>
      <c r="C108" t="s">
        <v>45</v>
      </c>
      <c r="D108">
        <v>5</v>
      </c>
      <c r="E108">
        <v>5</v>
      </c>
      <c r="F108">
        <v>1003</v>
      </c>
      <c r="G108">
        <f>200+302+555+655+10</f>
        <v>1722</v>
      </c>
      <c r="H108">
        <v>0</v>
      </c>
      <c r="I108">
        <v>0</v>
      </c>
      <c r="J108">
        <v>0</v>
      </c>
      <c r="K108">
        <v>15.7</v>
      </c>
      <c r="L108">
        <v>1003</v>
      </c>
      <c r="M108">
        <v>1000</v>
      </c>
      <c r="N108" s="2">
        <v>45939</v>
      </c>
      <c r="O108" s="2">
        <v>46303</v>
      </c>
      <c r="P108" s="2">
        <v>45939</v>
      </c>
      <c r="Q108" t="s">
        <v>27</v>
      </c>
      <c r="R108">
        <v>12</v>
      </c>
      <c r="T108" t="s">
        <v>40</v>
      </c>
      <c r="U108" t="s">
        <v>202</v>
      </c>
      <c r="V108" t="s">
        <v>329</v>
      </c>
    </row>
    <row r="109" spans="1:22" x14ac:dyDescent="0.3">
      <c r="A109" t="s">
        <v>203</v>
      </c>
      <c r="B109" t="s">
        <v>112</v>
      </c>
      <c r="C109" t="s">
        <v>45</v>
      </c>
      <c r="D109">
        <v>1</v>
      </c>
      <c r="E109">
        <v>1</v>
      </c>
      <c r="F109">
        <v>800</v>
      </c>
      <c r="G109">
        <v>10</v>
      </c>
      <c r="H109">
        <v>0</v>
      </c>
      <c r="I109">
        <v>0</v>
      </c>
      <c r="J109">
        <v>0</v>
      </c>
      <c r="K109">
        <v>20</v>
      </c>
      <c r="L109">
        <v>800</v>
      </c>
      <c r="M109">
        <v>1000</v>
      </c>
      <c r="N109" s="2">
        <v>45938</v>
      </c>
      <c r="O109" s="2">
        <v>45938</v>
      </c>
      <c r="P109" s="2">
        <v>45939</v>
      </c>
      <c r="Q109" t="s">
        <v>27</v>
      </c>
      <c r="R109">
        <v>12</v>
      </c>
      <c r="T109" t="s">
        <v>39</v>
      </c>
      <c r="U109" t="s">
        <v>125</v>
      </c>
      <c r="V109" t="s">
        <v>329</v>
      </c>
    </row>
    <row r="110" spans="1:22" x14ac:dyDescent="0.3">
      <c r="A110" t="s">
        <v>204</v>
      </c>
      <c r="B110" t="s">
        <v>30</v>
      </c>
      <c r="C110" t="s">
        <v>45</v>
      </c>
      <c r="D110">
        <v>4</v>
      </c>
      <c r="E110">
        <v>4</v>
      </c>
      <c r="F110">
        <v>1001</v>
      </c>
      <c r="G110">
        <f>11+5+2+10</f>
        <v>28</v>
      </c>
      <c r="H110">
        <v>0</v>
      </c>
      <c r="I110">
        <v>0</v>
      </c>
      <c r="J110">
        <v>0</v>
      </c>
      <c r="K110">
        <v>15.65</v>
      </c>
      <c r="L110">
        <v>1001</v>
      </c>
      <c r="M110">
        <v>1000</v>
      </c>
      <c r="N110" s="2">
        <v>45937</v>
      </c>
      <c r="O110" s="2">
        <v>46301</v>
      </c>
      <c r="P110" s="2">
        <v>45937</v>
      </c>
      <c r="Q110" t="s">
        <v>27</v>
      </c>
      <c r="R110">
        <v>12</v>
      </c>
      <c r="T110" t="s">
        <v>40</v>
      </c>
      <c r="U110" t="s">
        <v>202</v>
      </c>
      <c r="V110" t="s">
        <v>329</v>
      </c>
    </row>
    <row r="111" spans="1:22" x14ac:dyDescent="0.3">
      <c r="A111" t="s">
        <v>205</v>
      </c>
      <c r="B111" t="s">
        <v>112</v>
      </c>
      <c r="C111" t="s">
        <v>45</v>
      </c>
      <c r="D111">
        <v>20</v>
      </c>
      <c r="E111">
        <v>1</v>
      </c>
      <c r="F111">
        <v>800</v>
      </c>
      <c r="G111">
        <v>250</v>
      </c>
      <c r="H111">
        <v>930</v>
      </c>
      <c r="I111">
        <v>19</v>
      </c>
      <c r="J111">
        <f>10+55+5+89+1124+2+2+4+100+260+1064+334+45798+7+50+3+10+70+340</f>
        <v>49327</v>
      </c>
      <c r="K111">
        <v>21</v>
      </c>
      <c r="L111">
        <v>865</v>
      </c>
      <c r="M111">
        <v>1000</v>
      </c>
      <c r="N111" s="2">
        <v>45932</v>
      </c>
      <c r="O111" s="2">
        <v>46297</v>
      </c>
      <c r="P111" s="2">
        <v>45933</v>
      </c>
      <c r="Q111" t="s">
        <v>27</v>
      </c>
      <c r="R111">
        <v>12</v>
      </c>
      <c r="T111" t="s">
        <v>39</v>
      </c>
      <c r="U111" t="s">
        <v>125</v>
      </c>
      <c r="V111" t="s">
        <v>329</v>
      </c>
    </row>
    <row r="112" spans="1:22" x14ac:dyDescent="0.3">
      <c r="A112" t="s">
        <v>206</v>
      </c>
      <c r="B112" t="s">
        <v>207</v>
      </c>
      <c r="C112" t="s">
        <v>45</v>
      </c>
      <c r="D112">
        <v>11</v>
      </c>
      <c r="E112">
        <v>6</v>
      </c>
      <c r="F112">
        <v>1000</v>
      </c>
      <c r="G112">
        <f>42+10+13+48+7+50</f>
        <v>170</v>
      </c>
      <c r="H112">
        <v>1009</v>
      </c>
      <c r="I112">
        <v>5</v>
      </c>
      <c r="J112">
        <f>362+2450+10+4+1</f>
        <v>2827</v>
      </c>
      <c r="K112">
        <v>20.25</v>
      </c>
      <c r="L112">
        <v>1004.5</v>
      </c>
      <c r="M112">
        <v>1000</v>
      </c>
      <c r="N112" s="2">
        <v>45926</v>
      </c>
      <c r="O112" s="2">
        <v>45925</v>
      </c>
      <c r="P112" s="2">
        <v>45929</v>
      </c>
      <c r="Q112" t="s">
        <v>27</v>
      </c>
      <c r="R112">
        <v>12</v>
      </c>
      <c r="T112" t="s">
        <v>39</v>
      </c>
      <c r="V112" t="s">
        <v>329</v>
      </c>
    </row>
    <row r="113" spans="1:22" x14ac:dyDescent="0.3">
      <c r="A113" t="s">
        <v>208</v>
      </c>
      <c r="B113" t="s">
        <v>209</v>
      </c>
      <c r="C113" t="s">
        <v>45</v>
      </c>
      <c r="D113">
        <v>9</v>
      </c>
      <c r="E113">
        <v>8</v>
      </c>
      <c r="F113">
        <v>1024</v>
      </c>
      <c r="G113">
        <f>42+1+300+49+19+20+100+252</f>
        <v>783</v>
      </c>
      <c r="H113">
        <v>1026</v>
      </c>
      <c r="I113">
        <v>1</v>
      </c>
      <c r="J113">
        <v>1</v>
      </c>
      <c r="K113">
        <v>19</v>
      </c>
      <c r="L113">
        <v>1025</v>
      </c>
      <c r="M113">
        <v>1000</v>
      </c>
      <c r="N113" s="2">
        <v>45924</v>
      </c>
      <c r="O113" s="2">
        <v>46289</v>
      </c>
      <c r="P113" s="2">
        <v>45925</v>
      </c>
      <c r="Q113" t="s">
        <v>27</v>
      </c>
      <c r="R113">
        <v>12</v>
      </c>
      <c r="T113" t="s">
        <v>39</v>
      </c>
      <c r="V113" t="s">
        <v>329</v>
      </c>
    </row>
    <row r="114" spans="1:22" x14ac:dyDescent="0.3">
      <c r="A114" t="s">
        <v>210</v>
      </c>
      <c r="B114" t="s">
        <v>181</v>
      </c>
      <c r="C114" t="s">
        <v>45</v>
      </c>
      <c r="D114">
        <v>21</v>
      </c>
      <c r="E114">
        <v>9</v>
      </c>
      <c r="F114">
        <v>915</v>
      </c>
      <c r="G114">
        <f>24+4+3+4+130+401+20+15+4</f>
        <v>605</v>
      </c>
      <c r="H114">
        <v>946</v>
      </c>
      <c r="I114">
        <v>12</v>
      </c>
      <c r="J114">
        <f>5+10+100+50+10+100+1+100+100+115+100+100</f>
        <v>791</v>
      </c>
      <c r="K114">
        <v>21.25</v>
      </c>
      <c r="L114">
        <v>930.5</v>
      </c>
      <c r="M114">
        <v>900</v>
      </c>
      <c r="N114" s="2">
        <v>45924</v>
      </c>
      <c r="O114" s="2">
        <v>46227</v>
      </c>
      <c r="P114" s="2">
        <v>45925</v>
      </c>
      <c r="Q114" t="s">
        <v>27</v>
      </c>
      <c r="R114">
        <v>10</v>
      </c>
      <c r="T114" t="s">
        <v>39</v>
      </c>
      <c r="V114" t="s">
        <v>329</v>
      </c>
    </row>
    <row r="115" spans="1:22" x14ac:dyDescent="0.3">
      <c r="A115" t="s">
        <v>211</v>
      </c>
      <c r="B115" t="s">
        <v>157</v>
      </c>
      <c r="C115" t="s">
        <v>45</v>
      </c>
      <c r="D115">
        <v>19</v>
      </c>
      <c r="E115">
        <v>10</v>
      </c>
      <c r="F115">
        <v>992</v>
      </c>
      <c r="G115">
        <f>404+50+134+1+76+250+20+32+100+400</f>
        <v>1467</v>
      </c>
      <c r="H115">
        <v>1024</v>
      </c>
      <c r="I115">
        <v>9</v>
      </c>
      <c r="J115">
        <f>1+12+10+153+50+30+248+3+1</f>
        <v>508</v>
      </c>
      <c r="K115">
        <v>17.5</v>
      </c>
      <c r="L115">
        <v>1008</v>
      </c>
      <c r="M115">
        <v>1000</v>
      </c>
      <c r="N115" s="2">
        <v>45919</v>
      </c>
      <c r="O115" s="2">
        <v>46283</v>
      </c>
      <c r="P115" s="2">
        <v>45922</v>
      </c>
      <c r="Q115" t="s">
        <v>27</v>
      </c>
      <c r="R115">
        <v>12</v>
      </c>
      <c r="T115" t="s">
        <v>39</v>
      </c>
      <c r="U115" t="s">
        <v>158</v>
      </c>
      <c r="V115" t="s">
        <v>329</v>
      </c>
    </row>
    <row r="116" spans="1:22" x14ac:dyDescent="0.3">
      <c r="A116" t="s">
        <v>212</v>
      </c>
      <c r="B116" t="s">
        <v>213</v>
      </c>
      <c r="C116" t="s">
        <v>45</v>
      </c>
      <c r="D116">
        <v>10</v>
      </c>
      <c r="E116">
        <v>8</v>
      </c>
      <c r="F116">
        <v>1010</v>
      </c>
      <c r="G116">
        <f>60+11+50+50+1+32+210</f>
        <v>414</v>
      </c>
      <c r="H116">
        <v>1027</v>
      </c>
      <c r="I116">
        <v>2</v>
      </c>
      <c r="J116">
        <v>10</v>
      </c>
      <c r="K116">
        <v>21.5</v>
      </c>
      <c r="L116">
        <v>1018.5</v>
      </c>
      <c r="M116">
        <v>1000</v>
      </c>
      <c r="N116" s="2">
        <v>45912</v>
      </c>
      <c r="O116" s="2">
        <v>46276</v>
      </c>
      <c r="P116" s="2">
        <v>45915</v>
      </c>
      <c r="Q116" t="s">
        <v>27</v>
      </c>
      <c r="R116">
        <v>12</v>
      </c>
      <c r="T116" t="s">
        <v>39</v>
      </c>
      <c r="U116" t="s">
        <v>214</v>
      </c>
      <c r="V116" t="s">
        <v>329</v>
      </c>
    </row>
    <row r="117" spans="1:22" x14ac:dyDescent="0.3">
      <c r="A117" t="s">
        <v>215</v>
      </c>
      <c r="B117" t="s">
        <v>30</v>
      </c>
      <c r="C117" t="s">
        <v>45</v>
      </c>
      <c r="D117">
        <v>6</v>
      </c>
      <c r="E117">
        <v>6</v>
      </c>
      <c r="F117">
        <v>1003</v>
      </c>
      <c r="G117">
        <f>200+555+5+6+555+10</f>
        <v>1331</v>
      </c>
      <c r="H117">
        <v>0</v>
      </c>
      <c r="I117">
        <v>0</v>
      </c>
      <c r="J117">
        <v>0</v>
      </c>
      <c r="K117">
        <v>15.15</v>
      </c>
      <c r="L117">
        <v>1003</v>
      </c>
      <c r="M117">
        <v>1000</v>
      </c>
      <c r="N117" s="2">
        <v>45912</v>
      </c>
      <c r="O117" s="2">
        <v>45911</v>
      </c>
      <c r="P117" s="2">
        <v>45912</v>
      </c>
      <c r="Q117" t="s">
        <v>27</v>
      </c>
      <c r="R117">
        <v>12</v>
      </c>
      <c r="T117" t="s">
        <v>40</v>
      </c>
      <c r="U117" t="s">
        <v>202</v>
      </c>
      <c r="V117" t="s">
        <v>329</v>
      </c>
    </row>
    <row r="118" spans="1:22" x14ac:dyDescent="0.3">
      <c r="A118" t="s">
        <v>216</v>
      </c>
      <c r="B118" t="s">
        <v>127</v>
      </c>
      <c r="C118" t="s">
        <v>45</v>
      </c>
      <c r="D118">
        <v>18</v>
      </c>
      <c r="E118">
        <v>8</v>
      </c>
      <c r="F118">
        <v>1015</v>
      </c>
      <c r="G118">
        <f>1+1+10+50+20+10+500+200</f>
        <v>792</v>
      </c>
      <c r="H118">
        <v>1020</v>
      </c>
      <c r="I118">
        <v>10</v>
      </c>
      <c r="J118">
        <f>10+255+3+100+10+7+5+3+1+100+120</f>
        <v>614</v>
      </c>
      <c r="K118">
        <v>19.5</v>
      </c>
      <c r="L118">
        <v>1015</v>
      </c>
      <c r="M118">
        <v>1000</v>
      </c>
      <c r="N118" s="2">
        <v>45908</v>
      </c>
      <c r="O118" s="2">
        <v>46273</v>
      </c>
      <c r="P118" s="2">
        <v>45909</v>
      </c>
      <c r="Q118" t="s">
        <v>27</v>
      </c>
      <c r="R118">
        <v>12</v>
      </c>
      <c r="T118" t="s">
        <v>39</v>
      </c>
      <c r="V118" t="s">
        <v>329</v>
      </c>
    </row>
    <row r="119" spans="1:22" x14ac:dyDescent="0.3">
      <c r="A119" t="s">
        <v>217</v>
      </c>
      <c r="B119" t="s">
        <v>51</v>
      </c>
      <c r="C119" t="s">
        <v>45</v>
      </c>
      <c r="D119">
        <v>24</v>
      </c>
      <c r="E119">
        <v>13</v>
      </c>
      <c r="F119">
        <v>989</v>
      </c>
      <c r="G119">
        <f>50+6+5+31+10+5+14+5+2+1+6+30+600</f>
        <v>765</v>
      </c>
      <c r="H119">
        <v>1000</v>
      </c>
      <c r="I119">
        <v>11</v>
      </c>
      <c r="J119">
        <f>421+500+500+500+764+1+100+30+10+1+1</f>
        <v>2828</v>
      </c>
      <c r="K119" t="s">
        <v>218</v>
      </c>
      <c r="L119">
        <v>994.5</v>
      </c>
      <c r="M119">
        <v>1000</v>
      </c>
      <c r="N119" s="2">
        <v>45901</v>
      </c>
      <c r="O119" s="2">
        <v>46266</v>
      </c>
      <c r="P119" s="2">
        <v>46267</v>
      </c>
      <c r="Q119" t="s">
        <v>27</v>
      </c>
      <c r="R119">
        <v>12</v>
      </c>
      <c r="T119" t="s">
        <v>39</v>
      </c>
      <c r="V119" t="s">
        <v>329</v>
      </c>
    </row>
    <row r="120" spans="1:22" x14ac:dyDescent="0.3">
      <c r="A120" t="s">
        <v>219</v>
      </c>
      <c r="B120" t="s">
        <v>112</v>
      </c>
      <c r="C120" t="s">
        <v>45</v>
      </c>
      <c r="D120">
        <v>2</v>
      </c>
      <c r="E120">
        <v>2</v>
      </c>
      <c r="F120">
        <v>1000</v>
      </c>
      <c r="G120">
        <v>0</v>
      </c>
      <c r="H120">
        <v>0</v>
      </c>
      <c r="I120">
        <v>0</v>
      </c>
      <c r="J120">
        <v>0</v>
      </c>
      <c r="K120">
        <v>21.5</v>
      </c>
      <c r="L120">
        <v>1000</v>
      </c>
      <c r="M120">
        <v>1000</v>
      </c>
      <c r="N120" s="2">
        <v>45898</v>
      </c>
      <c r="O120" s="2">
        <v>46262</v>
      </c>
      <c r="P120" s="2">
        <v>45901</v>
      </c>
      <c r="Q120" t="s">
        <v>27</v>
      </c>
      <c r="R120">
        <v>12</v>
      </c>
      <c r="T120" t="s">
        <v>40</v>
      </c>
      <c r="U120" t="s">
        <v>125</v>
      </c>
      <c r="V120" t="s">
        <v>329</v>
      </c>
    </row>
    <row r="121" spans="1:22" x14ac:dyDescent="0.3">
      <c r="A121" t="s">
        <v>220</v>
      </c>
      <c r="B121" t="s">
        <v>30</v>
      </c>
      <c r="C121" t="s">
        <v>45</v>
      </c>
      <c r="D121">
        <v>7</v>
      </c>
      <c r="E121">
        <v>7</v>
      </c>
      <c r="F121">
        <v>1003</v>
      </c>
      <c r="G121">
        <f>50+50+555+6+605+1055+10</f>
        <v>2331</v>
      </c>
      <c r="H121">
        <v>0</v>
      </c>
      <c r="I121">
        <v>0</v>
      </c>
      <c r="J121">
        <v>0</v>
      </c>
      <c r="K121">
        <v>14.07</v>
      </c>
      <c r="L121">
        <v>1003</v>
      </c>
      <c r="M121">
        <v>1000</v>
      </c>
      <c r="N121" s="2">
        <v>45889</v>
      </c>
      <c r="O121" s="2">
        <v>46253</v>
      </c>
      <c r="P121" s="2">
        <v>45889</v>
      </c>
      <c r="Q121" t="s">
        <v>27</v>
      </c>
      <c r="R121">
        <v>12</v>
      </c>
      <c r="T121" t="s">
        <v>40</v>
      </c>
      <c r="U121" t="s">
        <v>202</v>
      </c>
      <c r="V121" t="s">
        <v>329</v>
      </c>
    </row>
    <row r="122" spans="1:22" x14ac:dyDescent="0.3">
      <c r="A122" t="s">
        <v>221</v>
      </c>
      <c r="B122" t="s">
        <v>30</v>
      </c>
      <c r="C122" t="s">
        <v>45</v>
      </c>
      <c r="D122">
        <v>5</v>
      </c>
      <c r="E122">
        <v>5</v>
      </c>
      <c r="F122">
        <v>1002</v>
      </c>
      <c r="G122">
        <f>100+555+4+525+10</f>
        <v>1194</v>
      </c>
      <c r="H122">
        <v>0</v>
      </c>
      <c r="I122">
        <v>0</v>
      </c>
      <c r="J122">
        <v>0</v>
      </c>
      <c r="K122">
        <v>14.1</v>
      </c>
      <c r="L122">
        <v>1002</v>
      </c>
      <c r="M122">
        <v>1000</v>
      </c>
      <c r="N122" s="2">
        <v>45888</v>
      </c>
      <c r="O122" s="2">
        <v>46252</v>
      </c>
      <c r="P122" s="2">
        <v>45888</v>
      </c>
      <c r="Q122" t="s">
        <v>27</v>
      </c>
      <c r="R122">
        <v>12</v>
      </c>
      <c r="T122" t="s">
        <v>40</v>
      </c>
      <c r="U122" t="s">
        <v>202</v>
      </c>
      <c r="V122" t="s">
        <v>329</v>
      </c>
    </row>
    <row r="123" spans="1:22" x14ac:dyDescent="0.3">
      <c r="A123" t="s">
        <v>222</v>
      </c>
      <c r="B123" t="s">
        <v>112</v>
      </c>
      <c r="C123" t="s">
        <v>45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21.5</v>
      </c>
      <c r="L123">
        <v>1000</v>
      </c>
      <c r="M123">
        <v>1000</v>
      </c>
      <c r="N123" s="2">
        <v>45885</v>
      </c>
      <c r="O123" s="2">
        <v>46248</v>
      </c>
      <c r="P123" s="2">
        <v>45887</v>
      </c>
      <c r="Q123" t="s">
        <v>27</v>
      </c>
      <c r="R123">
        <v>12</v>
      </c>
      <c r="T123" t="s">
        <v>40</v>
      </c>
      <c r="U123" t="s">
        <v>125</v>
      </c>
      <c r="V123" t="s">
        <v>329</v>
      </c>
    </row>
    <row r="124" spans="1:22" x14ac:dyDescent="0.3">
      <c r="A124" t="s">
        <v>223</v>
      </c>
      <c r="B124" t="s">
        <v>30</v>
      </c>
      <c r="C124" t="s">
        <v>45</v>
      </c>
      <c r="D124">
        <v>5</v>
      </c>
      <c r="E124">
        <v>4</v>
      </c>
      <c r="F124">
        <v>980</v>
      </c>
      <c r="G124">
        <f>200+1000+101+110</f>
        <v>1411</v>
      </c>
      <c r="H124">
        <v>1050</v>
      </c>
      <c r="I124">
        <v>1</v>
      </c>
      <c r="J124">
        <v>47</v>
      </c>
      <c r="K124">
        <v>13.33</v>
      </c>
      <c r="L124">
        <v>1015</v>
      </c>
      <c r="M124">
        <v>1000</v>
      </c>
      <c r="N124" s="2">
        <v>45880</v>
      </c>
      <c r="O124" s="2">
        <v>46245</v>
      </c>
      <c r="P124" s="2">
        <v>46246</v>
      </c>
      <c r="Q124" t="s">
        <v>27</v>
      </c>
      <c r="R124">
        <v>12</v>
      </c>
      <c r="T124" t="s">
        <v>39</v>
      </c>
      <c r="U124" t="s">
        <v>202</v>
      </c>
      <c r="V124" t="s">
        <v>329</v>
      </c>
    </row>
    <row r="125" spans="1:22" x14ac:dyDescent="0.3">
      <c r="A125" t="s">
        <v>222</v>
      </c>
      <c r="B125" t="s">
        <v>112</v>
      </c>
      <c r="C125" t="s">
        <v>45</v>
      </c>
      <c r="D125">
        <v>32</v>
      </c>
      <c r="E125">
        <v>2</v>
      </c>
      <c r="F125">
        <v>801</v>
      </c>
      <c r="G125">
        <v>301</v>
      </c>
      <c r="H125">
        <v>849</v>
      </c>
      <c r="I125">
        <v>30</v>
      </c>
      <c r="J125">
        <f>40+500+45+4+310+400+234+5+11+100+33+2294+100+200+13+3+1+1+1174+1+2500+396+851+19399+100+500+101+10+3+1</f>
        <v>29330</v>
      </c>
      <c r="K125">
        <v>21.5</v>
      </c>
      <c r="L125">
        <v>825</v>
      </c>
      <c r="M125">
        <v>1000</v>
      </c>
      <c r="N125" s="2">
        <v>45876</v>
      </c>
      <c r="O125" s="2">
        <v>46241</v>
      </c>
      <c r="P125" s="2">
        <v>45877</v>
      </c>
      <c r="Q125" t="s">
        <v>27</v>
      </c>
      <c r="R125">
        <v>12</v>
      </c>
      <c r="T125" t="s">
        <v>39</v>
      </c>
      <c r="U125" t="s">
        <v>125</v>
      </c>
      <c r="V125" t="s">
        <v>329</v>
      </c>
    </row>
    <row r="126" spans="1:22" x14ac:dyDescent="0.3">
      <c r="A126" t="s">
        <v>224</v>
      </c>
      <c r="B126" t="s">
        <v>51</v>
      </c>
      <c r="C126" t="s">
        <v>45</v>
      </c>
      <c r="D126">
        <v>18</v>
      </c>
      <c r="E126">
        <v>7</v>
      </c>
      <c r="F126">
        <v>1000</v>
      </c>
      <c r="G126">
        <f>200+500+32+50+45+25+5</f>
        <v>857</v>
      </c>
      <c r="H126">
        <v>1010</v>
      </c>
      <c r="I126">
        <v>11</v>
      </c>
      <c r="J126">
        <f>100+1+2+3+5+10+100+44+786+769+103</f>
        <v>1923</v>
      </c>
      <c r="K126">
        <v>22.5</v>
      </c>
      <c r="L126">
        <v>1005</v>
      </c>
      <c r="M126">
        <v>1000</v>
      </c>
      <c r="N126" s="2">
        <v>45873</v>
      </c>
      <c r="O126" s="2">
        <v>46238</v>
      </c>
      <c r="P126" s="2">
        <v>45874</v>
      </c>
      <c r="Q126" t="s">
        <v>27</v>
      </c>
      <c r="R126">
        <v>12</v>
      </c>
      <c r="T126" t="s">
        <v>39</v>
      </c>
      <c r="V126" t="s">
        <v>329</v>
      </c>
    </row>
    <row r="127" spans="1:22" x14ac:dyDescent="0.3">
      <c r="A127" t="s">
        <v>225</v>
      </c>
      <c r="B127" t="s">
        <v>30</v>
      </c>
      <c r="C127" t="s">
        <v>45</v>
      </c>
      <c r="D127">
        <v>6</v>
      </c>
      <c r="E127">
        <v>6</v>
      </c>
      <c r="F127">
        <v>1004</v>
      </c>
      <c r="G127">
        <f>200+50+555+7+525+100</f>
        <v>1437</v>
      </c>
      <c r="H127">
        <v>0</v>
      </c>
      <c r="I127">
        <v>0</v>
      </c>
      <c r="J127">
        <v>0</v>
      </c>
      <c r="K127">
        <v>14.5</v>
      </c>
      <c r="L127">
        <v>1004</v>
      </c>
      <c r="M127">
        <v>1000</v>
      </c>
      <c r="N127" s="2">
        <v>45869</v>
      </c>
      <c r="O127" s="2">
        <v>46203</v>
      </c>
      <c r="P127" s="2">
        <v>45869</v>
      </c>
      <c r="Q127" t="s">
        <v>27</v>
      </c>
      <c r="R127">
        <v>12</v>
      </c>
      <c r="T127" t="s">
        <v>40</v>
      </c>
      <c r="U127" t="s">
        <v>202</v>
      </c>
      <c r="V127" t="s">
        <v>329</v>
      </c>
    </row>
    <row r="128" spans="1:22" x14ac:dyDescent="0.3">
      <c r="A128" t="s">
        <v>226</v>
      </c>
      <c r="B128" t="s">
        <v>30</v>
      </c>
      <c r="C128" t="s">
        <v>45</v>
      </c>
      <c r="D128">
        <v>6</v>
      </c>
      <c r="E128">
        <v>5</v>
      </c>
      <c r="F128">
        <v>940</v>
      </c>
      <c r="G128">
        <f>1+50+336+555+110</f>
        <v>1052</v>
      </c>
      <c r="H128">
        <v>1200</v>
      </c>
      <c r="I128">
        <v>1</v>
      </c>
      <c r="J128">
        <v>1</v>
      </c>
      <c r="K128">
        <v>15</v>
      </c>
      <c r="L128">
        <v>1070</v>
      </c>
      <c r="M128">
        <v>1000</v>
      </c>
      <c r="N128" s="2">
        <v>45863</v>
      </c>
      <c r="O128" s="2">
        <v>46959</v>
      </c>
      <c r="P128" s="2">
        <v>45863</v>
      </c>
      <c r="Q128" t="s">
        <v>27</v>
      </c>
      <c r="R128">
        <v>36</v>
      </c>
      <c r="T128" t="s">
        <v>40</v>
      </c>
      <c r="U128" t="s">
        <v>202</v>
      </c>
      <c r="V128" t="s">
        <v>329</v>
      </c>
    </row>
    <row r="129" spans="1:22" x14ac:dyDescent="0.3">
      <c r="A129" t="s">
        <v>227</v>
      </c>
      <c r="B129" t="s">
        <v>228</v>
      </c>
      <c r="C129" t="s">
        <v>45</v>
      </c>
      <c r="D129">
        <v>6</v>
      </c>
      <c r="E129">
        <v>6</v>
      </c>
      <c r="F129">
        <v>1003</v>
      </c>
      <c r="G129">
        <f>3+50+1+50+500+210</f>
        <v>814</v>
      </c>
      <c r="H129">
        <v>0</v>
      </c>
      <c r="I129">
        <v>0</v>
      </c>
      <c r="J129">
        <v>0</v>
      </c>
      <c r="K129">
        <v>19.5</v>
      </c>
      <c r="L129">
        <v>1003</v>
      </c>
      <c r="M129">
        <v>1000</v>
      </c>
      <c r="N129" s="2">
        <v>45886</v>
      </c>
      <c r="O129" s="2">
        <v>46220</v>
      </c>
      <c r="P129" s="2">
        <v>45856</v>
      </c>
      <c r="Q129" t="s">
        <v>27</v>
      </c>
      <c r="R129">
        <v>12</v>
      </c>
      <c r="T129" t="s">
        <v>39</v>
      </c>
      <c r="V129" t="s">
        <v>329</v>
      </c>
    </row>
    <row r="130" spans="1:22" x14ac:dyDescent="0.3">
      <c r="A130" t="s">
        <v>229</v>
      </c>
      <c r="B130" t="s">
        <v>230</v>
      </c>
      <c r="C130" t="s">
        <v>45</v>
      </c>
      <c r="D130">
        <v>5</v>
      </c>
      <c r="E130">
        <v>4</v>
      </c>
      <c r="F130">
        <v>1006</v>
      </c>
      <c r="G130">
        <f>1+5+64+50</f>
        <v>120</v>
      </c>
      <c r="H130">
        <v>1033</v>
      </c>
      <c r="I130">
        <v>1</v>
      </c>
      <c r="J130">
        <v>17</v>
      </c>
      <c r="K130">
        <v>23.75</v>
      </c>
      <c r="L130">
        <v>1019.5</v>
      </c>
      <c r="M130">
        <v>1000</v>
      </c>
      <c r="N130" s="2">
        <v>45854</v>
      </c>
      <c r="O130" s="2">
        <v>46218</v>
      </c>
      <c r="P130" s="2">
        <v>45854</v>
      </c>
      <c r="Q130" t="s">
        <v>27</v>
      </c>
      <c r="R130">
        <v>12</v>
      </c>
      <c r="T130" t="s">
        <v>39</v>
      </c>
      <c r="V130" t="s">
        <v>329</v>
      </c>
    </row>
    <row r="131" spans="1:22" x14ac:dyDescent="0.3">
      <c r="A131" t="s">
        <v>231</v>
      </c>
      <c r="B131" t="s">
        <v>175</v>
      </c>
      <c r="C131" t="s">
        <v>45</v>
      </c>
      <c r="D131">
        <v>19</v>
      </c>
      <c r="E131">
        <v>10</v>
      </c>
      <c r="F131">
        <v>1015</v>
      </c>
      <c r="G131">
        <f>45+1+150+100+19+3+100+32+190+100</f>
        <v>740</v>
      </c>
      <c r="H131">
        <v>1033</v>
      </c>
      <c r="I131">
        <v>9</v>
      </c>
      <c r="J131">
        <f>193+10+1+1+167+1000+1000+1000+1000</f>
        <v>4372</v>
      </c>
      <c r="K131">
        <v>24</v>
      </c>
      <c r="L131">
        <v>1024</v>
      </c>
      <c r="M131">
        <v>1000</v>
      </c>
      <c r="N131" s="2">
        <v>45850</v>
      </c>
      <c r="O131" s="2">
        <v>46213</v>
      </c>
      <c r="P131" s="2">
        <v>45852</v>
      </c>
      <c r="Q131" t="s">
        <v>27</v>
      </c>
      <c r="R131">
        <v>12</v>
      </c>
      <c r="T131" t="s">
        <v>39</v>
      </c>
      <c r="V131" t="s">
        <v>329</v>
      </c>
    </row>
    <row r="132" spans="1:22" x14ac:dyDescent="0.3">
      <c r="A132" t="s">
        <v>232</v>
      </c>
      <c r="B132" t="s">
        <v>196</v>
      </c>
      <c r="C132" t="s">
        <v>45</v>
      </c>
      <c r="D132">
        <v>10</v>
      </c>
      <c r="E132">
        <v>5</v>
      </c>
      <c r="F132">
        <v>1004</v>
      </c>
      <c r="G132">
        <f>1+5+608+15+1000</f>
        <v>1629</v>
      </c>
      <c r="H132">
        <v>1029</v>
      </c>
      <c r="I132">
        <v>5</v>
      </c>
      <c r="J132">
        <f>900+530+1+7+1001</f>
        <v>2439</v>
      </c>
      <c r="K132">
        <v>20</v>
      </c>
      <c r="L132">
        <v>1016.5</v>
      </c>
      <c r="M132">
        <v>1000</v>
      </c>
      <c r="N132" s="2">
        <v>45839</v>
      </c>
      <c r="O132" s="2">
        <v>46203</v>
      </c>
      <c r="P132" s="2">
        <v>45839</v>
      </c>
      <c r="Q132" t="s">
        <v>27</v>
      </c>
      <c r="R132">
        <v>12</v>
      </c>
      <c r="T132" t="s">
        <v>233</v>
      </c>
      <c r="U132" t="s">
        <v>197</v>
      </c>
      <c r="V132" t="s">
        <v>329</v>
      </c>
    </row>
    <row r="133" spans="1:22" x14ac:dyDescent="0.3">
      <c r="A133" t="s">
        <v>234</v>
      </c>
      <c r="B133" t="s">
        <v>228</v>
      </c>
      <c r="C133" t="s">
        <v>45</v>
      </c>
      <c r="D133">
        <v>3</v>
      </c>
      <c r="E133">
        <v>3</v>
      </c>
      <c r="F133">
        <v>1000</v>
      </c>
      <c r="G133">
        <f>105+500+141</f>
        <v>746</v>
      </c>
      <c r="H133">
        <v>0</v>
      </c>
      <c r="I133">
        <v>0</v>
      </c>
      <c r="J133">
        <v>0</v>
      </c>
      <c r="K133">
        <v>21</v>
      </c>
      <c r="L133">
        <v>1000</v>
      </c>
      <c r="M133">
        <v>1000</v>
      </c>
      <c r="N133" s="2">
        <v>45839</v>
      </c>
      <c r="O133" s="2">
        <v>46203</v>
      </c>
      <c r="P133" s="2">
        <v>45839</v>
      </c>
      <c r="Q133" t="s">
        <v>27</v>
      </c>
      <c r="R133">
        <v>12</v>
      </c>
      <c r="T133" t="s">
        <v>39</v>
      </c>
      <c r="V133" t="s">
        <v>329</v>
      </c>
    </row>
    <row r="134" spans="1:22" x14ac:dyDescent="0.3">
      <c r="A134" t="s">
        <v>235</v>
      </c>
      <c r="B134" t="s">
        <v>236</v>
      </c>
      <c r="C134" t="s">
        <v>45</v>
      </c>
      <c r="D134">
        <v>7</v>
      </c>
      <c r="E134">
        <v>5</v>
      </c>
      <c r="F134">
        <v>1030</v>
      </c>
      <c r="G134">
        <f>60+100+50+3+5</f>
        <v>218</v>
      </c>
      <c r="H134">
        <v>1032</v>
      </c>
      <c r="I134">
        <v>2</v>
      </c>
      <c r="J134">
        <f>95+59</f>
        <v>154</v>
      </c>
      <c r="K134">
        <v>26</v>
      </c>
      <c r="L134">
        <v>1031</v>
      </c>
      <c r="M134">
        <v>1000</v>
      </c>
      <c r="N134" s="2">
        <v>45825</v>
      </c>
      <c r="O134" s="2">
        <v>45824</v>
      </c>
      <c r="P134" s="2">
        <v>45825</v>
      </c>
      <c r="Q134" t="s">
        <v>27</v>
      </c>
      <c r="R134">
        <v>12</v>
      </c>
      <c r="T134" t="s">
        <v>39</v>
      </c>
      <c r="V134" t="s">
        <v>329</v>
      </c>
    </row>
    <row r="135" spans="1:22" x14ac:dyDescent="0.3">
      <c r="A135" t="s">
        <v>237</v>
      </c>
      <c r="B135" t="s">
        <v>238</v>
      </c>
      <c r="C135" t="s">
        <v>45</v>
      </c>
      <c r="D135">
        <v>29</v>
      </c>
      <c r="E135">
        <v>9</v>
      </c>
      <c r="F135">
        <v>103</v>
      </c>
      <c r="G135">
        <f>3911+100+5+50+10+15+1000+10+10</f>
        <v>5111</v>
      </c>
      <c r="H135">
        <v>250</v>
      </c>
      <c r="I135">
        <v>20</v>
      </c>
      <c r="J135">
        <f>16+2+2+6</f>
        <v>26</v>
      </c>
      <c r="K135">
        <v>25</v>
      </c>
      <c r="L135">
        <v>176.5</v>
      </c>
      <c r="M135">
        <v>1000</v>
      </c>
      <c r="N135" s="2">
        <v>45820</v>
      </c>
      <c r="O135" s="2">
        <v>47553</v>
      </c>
      <c r="P135" s="2">
        <v>45824</v>
      </c>
      <c r="Q135" t="s">
        <v>27</v>
      </c>
      <c r="R135">
        <v>9</v>
      </c>
      <c r="T135" t="s">
        <v>39</v>
      </c>
      <c r="V135" t="s">
        <v>329</v>
      </c>
    </row>
    <row r="136" spans="1:22" x14ac:dyDescent="0.3">
      <c r="A136" t="s">
        <v>239</v>
      </c>
      <c r="B136" t="s">
        <v>30</v>
      </c>
      <c r="C136" t="s">
        <v>45</v>
      </c>
      <c r="D136">
        <v>2</v>
      </c>
      <c r="E136">
        <v>2</v>
      </c>
      <c r="F136">
        <v>1000000</v>
      </c>
      <c r="G136">
        <v>2</v>
      </c>
      <c r="H136">
        <v>0</v>
      </c>
      <c r="I136">
        <v>0</v>
      </c>
      <c r="J136">
        <v>0</v>
      </c>
      <c r="K136">
        <v>19</v>
      </c>
      <c r="L136" s="1">
        <v>1000000</v>
      </c>
      <c r="M136" s="1">
        <v>1000000</v>
      </c>
      <c r="N136" s="2">
        <v>45812</v>
      </c>
      <c r="O136" s="2">
        <v>46909</v>
      </c>
      <c r="P136" s="2">
        <v>45812</v>
      </c>
      <c r="Q136" t="s">
        <v>27</v>
      </c>
      <c r="R136">
        <v>36</v>
      </c>
      <c r="T136" t="s">
        <v>39</v>
      </c>
      <c r="U136" t="s">
        <v>202</v>
      </c>
      <c r="V136" t="s">
        <v>329</v>
      </c>
    </row>
    <row r="137" spans="1:22" x14ac:dyDescent="0.3">
      <c r="A137" t="s">
        <v>240</v>
      </c>
      <c r="B137" t="s">
        <v>112</v>
      </c>
      <c r="C137" t="s">
        <v>45</v>
      </c>
      <c r="D137">
        <v>26</v>
      </c>
      <c r="E137">
        <v>13</v>
      </c>
      <c r="F137">
        <v>950</v>
      </c>
      <c r="G137">
        <f>706+1963+400+5+956+200+100+849+5+80+122+5+408</f>
        <v>5799</v>
      </c>
      <c r="H137">
        <v>985</v>
      </c>
      <c r="I137">
        <v>13</v>
      </c>
      <c r="J137">
        <f>40+160+638+35+50+1926+470+5319+200+400+6+1500+731</f>
        <v>11475</v>
      </c>
      <c r="K137">
        <v>25.5</v>
      </c>
      <c r="L137">
        <v>967.5</v>
      </c>
      <c r="M137">
        <v>1000</v>
      </c>
      <c r="N137" s="2">
        <v>45812</v>
      </c>
      <c r="O137" s="2">
        <v>46176</v>
      </c>
      <c r="P137" s="2">
        <v>45812</v>
      </c>
      <c r="Q137" t="s">
        <v>27</v>
      </c>
      <c r="R137">
        <v>12</v>
      </c>
      <c r="T137" t="s">
        <v>39</v>
      </c>
      <c r="U137" t="s">
        <v>125</v>
      </c>
      <c r="V137" t="s">
        <v>329</v>
      </c>
    </row>
    <row r="138" spans="1:22" x14ac:dyDescent="0.3">
      <c r="A138" t="s">
        <v>241</v>
      </c>
      <c r="B138" t="s">
        <v>172</v>
      </c>
      <c r="C138" t="s">
        <v>45</v>
      </c>
      <c r="D138">
        <v>28</v>
      </c>
      <c r="E138">
        <v>19</v>
      </c>
      <c r="F138">
        <v>1014</v>
      </c>
      <c r="G138">
        <f>7+1+245+5+3+203+100+100+50+5+178+36+183+38+177+60+4+183+35</f>
        <v>1613</v>
      </c>
      <c r="H138">
        <v>1020</v>
      </c>
      <c r="I138">
        <v>9</v>
      </c>
      <c r="J138">
        <f>1361+50+49+10+1+2+2056+1+11</f>
        <v>3541</v>
      </c>
      <c r="K138">
        <v>25.75</v>
      </c>
      <c r="L138">
        <v>1017</v>
      </c>
      <c r="M138">
        <v>1000</v>
      </c>
      <c r="N138" s="2">
        <v>45773</v>
      </c>
      <c r="O138" s="2">
        <v>45862</v>
      </c>
      <c r="P138" s="2">
        <v>45775</v>
      </c>
      <c r="Q138" t="s">
        <v>27</v>
      </c>
      <c r="R138">
        <v>15</v>
      </c>
      <c r="T138" t="s">
        <v>39</v>
      </c>
      <c r="V138" t="s">
        <v>329</v>
      </c>
    </row>
    <row r="139" spans="1:22" x14ac:dyDescent="0.3">
      <c r="A139" t="s">
        <v>242</v>
      </c>
      <c r="B139" t="s">
        <v>30</v>
      </c>
      <c r="C139" t="s">
        <v>45</v>
      </c>
      <c r="D139">
        <v>5</v>
      </c>
      <c r="E139">
        <v>5</v>
      </c>
      <c r="F139">
        <v>1012</v>
      </c>
      <c r="G139">
        <f>100+966+11+575+11</f>
        <v>1663</v>
      </c>
      <c r="H139">
        <v>0</v>
      </c>
      <c r="I139">
        <v>0</v>
      </c>
      <c r="J139">
        <v>0</v>
      </c>
      <c r="K139">
        <v>20.5</v>
      </c>
      <c r="L139">
        <v>1012</v>
      </c>
      <c r="M139">
        <v>1000</v>
      </c>
      <c r="N139" s="2">
        <v>45762</v>
      </c>
      <c r="O139" s="2">
        <v>46857</v>
      </c>
      <c r="P139" s="2">
        <v>45762</v>
      </c>
      <c r="Q139" t="s">
        <v>27</v>
      </c>
      <c r="R139">
        <v>36</v>
      </c>
      <c r="T139" t="s">
        <v>40</v>
      </c>
      <c r="U139" t="s">
        <v>202</v>
      </c>
      <c r="V139" t="s">
        <v>329</v>
      </c>
    </row>
    <row r="140" spans="1:22" x14ac:dyDescent="0.3">
      <c r="A140" t="s">
        <v>243</v>
      </c>
      <c r="B140" t="s">
        <v>244</v>
      </c>
      <c r="C140" t="s">
        <v>45</v>
      </c>
      <c r="D140">
        <v>28</v>
      </c>
      <c r="E140">
        <v>15</v>
      </c>
      <c r="F140">
        <v>1014</v>
      </c>
      <c r="G140">
        <f>250+36+60+100+49+20+8+60+100+25+38+5+2</f>
        <v>753</v>
      </c>
      <c r="H140">
        <v>1015</v>
      </c>
      <c r="I140">
        <v>13</v>
      </c>
      <c r="J140">
        <f>50+148+4+63+153+3+300+1+50+600+4+7+1824</f>
        <v>3207</v>
      </c>
      <c r="K140">
        <v>25</v>
      </c>
      <c r="L140">
        <v>1014.5</v>
      </c>
      <c r="M140">
        <v>1000</v>
      </c>
      <c r="N140" s="2">
        <v>45745</v>
      </c>
      <c r="O140" s="2">
        <v>46293</v>
      </c>
      <c r="P140" s="2">
        <v>45747</v>
      </c>
      <c r="Q140" t="s">
        <v>27</v>
      </c>
      <c r="R140">
        <v>18</v>
      </c>
      <c r="T140" t="s">
        <v>39</v>
      </c>
      <c r="V140" t="s">
        <v>329</v>
      </c>
    </row>
    <row r="141" spans="1:22" x14ac:dyDescent="0.3">
      <c r="A141" t="s">
        <v>245</v>
      </c>
      <c r="B141" t="s">
        <v>238</v>
      </c>
      <c r="C141" t="s">
        <v>45</v>
      </c>
      <c r="D141">
        <v>10</v>
      </c>
      <c r="E141">
        <v>10</v>
      </c>
      <c r="F141">
        <v>105</v>
      </c>
      <c r="G141">
        <f>8150+1+100+20+50+35+15+1000+10+10</f>
        <v>9391</v>
      </c>
      <c r="H141">
        <v>0</v>
      </c>
      <c r="I141">
        <v>0</v>
      </c>
      <c r="J141">
        <v>0</v>
      </c>
      <c r="K141">
        <v>26.5</v>
      </c>
      <c r="L141">
        <v>105</v>
      </c>
      <c r="M141">
        <v>1000</v>
      </c>
      <c r="N141" s="2">
        <v>45738</v>
      </c>
      <c r="O141" s="2">
        <v>47836</v>
      </c>
      <c r="P141" s="2">
        <v>45740</v>
      </c>
      <c r="Q141" t="s">
        <v>27</v>
      </c>
      <c r="R141">
        <v>9</v>
      </c>
      <c r="T141" t="s">
        <v>39</v>
      </c>
      <c r="V141" t="s">
        <v>329</v>
      </c>
    </row>
    <row r="142" spans="1:22" x14ac:dyDescent="0.3">
      <c r="A142" t="s">
        <v>246</v>
      </c>
      <c r="B142" t="s">
        <v>247</v>
      </c>
      <c r="C142" t="s">
        <v>45</v>
      </c>
      <c r="D142">
        <v>16</v>
      </c>
      <c r="E142">
        <v>10</v>
      </c>
      <c r="F142">
        <v>800</v>
      </c>
      <c r="G142">
        <f>6651+5000+100+2+1+12+42+5+7+15</f>
        <v>11835</v>
      </c>
      <c r="H142">
        <v>890</v>
      </c>
      <c r="I142">
        <v>6</v>
      </c>
      <c r="J142">
        <f>25+7+1+138+5+525</f>
        <v>701</v>
      </c>
      <c r="K142">
        <v>26.75</v>
      </c>
      <c r="L142">
        <v>845</v>
      </c>
      <c r="M142">
        <v>1000</v>
      </c>
      <c r="N142" s="2">
        <v>45735</v>
      </c>
      <c r="O142" s="2">
        <v>47560</v>
      </c>
      <c r="P142" s="2">
        <v>45735</v>
      </c>
      <c r="Q142" t="s">
        <v>27</v>
      </c>
      <c r="R142">
        <v>12</v>
      </c>
      <c r="T142" t="s">
        <v>39</v>
      </c>
      <c r="V142" t="s">
        <v>329</v>
      </c>
    </row>
    <row r="143" spans="1:22" x14ac:dyDescent="0.3">
      <c r="A143" t="s">
        <v>248</v>
      </c>
      <c r="B143" t="s">
        <v>30</v>
      </c>
      <c r="C143" t="s">
        <v>45</v>
      </c>
      <c r="D143">
        <v>10</v>
      </c>
      <c r="E143">
        <v>10</v>
      </c>
      <c r="F143">
        <v>1052</v>
      </c>
      <c r="G143">
        <f>116+1170+224+555+555+620+100+539+282+48</f>
        <v>4209</v>
      </c>
      <c r="H143">
        <v>0</v>
      </c>
      <c r="I143">
        <v>0</v>
      </c>
      <c r="J143">
        <v>0</v>
      </c>
      <c r="K143">
        <v>21</v>
      </c>
      <c r="L143">
        <v>1052</v>
      </c>
      <c r="M143">
        <v>1000</v>
      </c>
      <c r="N143" s="2">
        <v>45716</v>
      </c>
      <c r="O143" s="2">
        <v>46444</v>
      </c>
      <c r="P143" s="2">
        <v>45716</v>
      </c>
      <c r="Q143" t="s">
        <v>27</v>
      </c>
      <c r="R143">
        <v>24</v>
      </c>
      <c r="T143" t="s">
        <v>40</v>
      </c>
      <c r="U143" t="s">
        <v>202</v>
      </c>
      <c r="V143" t="s">
        <v>329</v>
      </c>
    </row>
    <row r="144" spans="1:22" x14ac:dyDescent="0.3">
      <c r="A144" t="s">
        <v>238</v>
      </c>
      <c r="B144" t="s">
        <v>238</v>
      </c>
      <c r="C144" t="s">
        <v>45</v>
      </c>
      <c r="D144">
        <v>24</v>
      </c>
      <c r="E144">
        <v>9</v>
      </c>
      <c r="F144">
        <v>202</v>
      </c>
      <c r="G144">
        <f>3102+5000+1+100+41+885+10+10+2</f>
        <v>9151</v>
      </c>
      <c r="H144">
        <v>299</v>
      </c>
      <c r="I144">
        <v>15</v>
      </c>
      <c r="J144">
        <f>1+1000+4+25+20+101+1+500+288+1+11+10</f>
        <v>1962</v>
      </c>
      <c r="K144">
        <v>27</v>
      </c>
      <c r="L144">
        <v>250.5</v>
      </c>
      <c r="M144">
        <v>1000</v>
      </c>
      <c r="N144" s="2">
        <v>45714</v>
      </c>
      <c r="O144" s="2">
        <v>47812</v>
      </c>
      <c r="P144" s="2">
        <v>45714</v>
      </c>
      <c r="Q144" t="s">
        <v>27</v>
      </c>
      <c r="R144">
        <v>9</v>
      </c>
      <c r="T144" t="s">
        <v>39</v>
      </c>
      <c r="V144" t="s">
        <v>329</v>
      </c>
    </row>
    <row r="145" spans="1:22" x14ac:dyDescent="0.3">
      <c r="A145" t="s">
        <v>249</v>
      </c>
      <c r="B145" t="s">
        <v>30</v>
      </c>
      <c r="C145" t="s">
        <v>45</v>
      </c>
      <c r="D145">
        <v>5</v>
      </c>
      <c r="E145">
        <v>5</v>
      </c>
      <c r="F145">
        <v>1010</v>
      </c>
      <c r="G145">
        <f>30+11+775+1170+100</f>
        <v>2086</v>
      </c>
      <c r="H145">
        <v>0</v>
      </c>
      <c r="I145">
        <v>0</v>
      </c>
      <c r="J145">
        <v>0</v>
      </c>
      <c r="K145">
        <v>24</v>
      </c>
      <c r="L145">
        <v>1010</v>
      </c>
      <c r="M145">
        <v>1000</v>
      </c>
      <c r="N145" s="2">
        <v>45710</v>
      </c>
      <c r="O145" s="2">
        <v>46801</v>
      </c>
      <c r="P145" s="2">
        <v>45712</v>
      </c>
      <c r="Q145" t="s">
        <v>27</v>
      </c>
      <c r="R145">
        <v>36</v>
      </c>
      <c r="T145" t="s">
        <v>40</v>
      </c>
      <c r="U145" t="s">
        <v>202</v>
      </c>
      <c r="V145" t="s">
        <v>329</v>
      </c>
    </row>
    <row r="146" spans="1:22" x14ac:dyDescent="0.3">
      <c r="A146" t="s">
        <v>250</v>
      </c>
      <c r="B146" t="s">
        <v>30</v>
      </c>
      <c r="C146" t="s">
        <v>45</v>
      </c>
      <c r="D146">
        <v>7</v>
      </c>
      <c r="E146">
        <v>7</v>
      </c>
      <c r="F146">
        <v>1111</v>
      </c>
      <c r="G146">
        <f>1137+212+775+1+1+1+111</f>
        <v>2238</v>
      </c>
      <c r="H146">
        <v>0</v>
      </c>
      <c r="I146">
        <v>0</v>
      </c>
      <c r="J146">
        <v>0</v>
      </c>
      <c r="K146">
        <v>25.32</v>
      </c>
      <c r="L146">
        <v>1111</v>
      </c>
      <c r="M146">
        <v>1000</v>
      </c>
      <c r="N146" s="2">
        <v>45703</v>
      </c>
      <c r="O146" s="2">
        <v>46794</v>
      </c>
      <c r="P146" s="2">
        <v>45705</v>
      </c>
      <c r="Q146" t="s">
        <v>27</v>
      </c>
      <c r="R146">
        <v>36</v>
      </c>
      <c r="T146" t="s">
        <v>40</v>
      </c>
      <c r="U146" t="s">
        <v>202</v>
      </c>
      <c r="V146" t="s">
        <v>329</v>
      </c>
    </row>
    <row r="147" spans="1:22" x14ac:dyDescent="0.3">
      <c r="A147" t="s">
        <v>251</v>
      </c>
      <c r="B147" t="s">
        <v>30</v>
      </c>
      <c r="C147" t="s">
        <v>45</v>
      </c>
      <c r="D147">
        <v>6</v>
      </c>
      <c r="E147">
        <v>6</v>
      </c>
      <c r="F147">
        <v>1003</v>
      </c>
      <c r="G147">
        <f>100+705+656+302+11+1</f>
        <v>1775</v>
      </c>
      <c r="H147">
        <v>0</v>
      </c>
      <c r="I147">
        <v>0</v>
      </c>
      <c r="J147">
        <v>0</v>
      </c>
      <c r="K147">
        <v>25.9</v>
      </c>
      <c r="L147">
        <v>1003</v>
      </c>
      <c r="M147">
        <v>1000</v>
      </c>
      <c r="N147" s="2">
        <v>45701</v>
      </c>
      <c r="O147" s="2">
        <v>46794</v>
      </c>
      <c r="P147" s="2">
        <v>45701</v>
      </c>
      <c r="Q147" t="s">
        <v>27</v>
      </c>
      <c r="R147">
        <v>36</v>
      </c>
      <c r="T147" t="s">
        <v>40</v>
      </c>
      <c r="U147" t="s">
        <v>202</v>
      </c>
      <c r="V147" t="s">
        <v>329</v>
      </c>
    </row>
    <row r="148" spans="1:22" x14ac:dyDescent="0.3">
      <c r="A148" t="s">
        <v>252</v>
      </c>
      <c r="B148" t="s">
        <v>30</v>
      </c>
      <c r="C148" t="s">
        <v>45</v>
      </c>
      <c r="D148">
        <v>9</v>
      </c>
      <c r="E148">
        <v>9</v>
      </c>
      <c r="F148">
        <v>1111</v>
      </c>
      <c r="G148">
        <f>104+1130+212+658+1+50+1+30+11</f>
        <v>2197</v>
      </c>
      <c r="H148">
        <v>0</v>
      </c>
      <c r="I148">
        <v>0</v>
      </c>
      <c r="J148">
        <v>0</v>
      </c>
      <c r="K148">
        <v>25.91</v>
      </c>
      <c r="L148">
        <v>1111</v>
      </c>
      <c r="M148">
        <v>1000</v>
      </c>
      <c r="N148" s="2">
        <v>45696</v>
      </c>
      <c r="O148" s="2">
        <v>46787</v>
      </c>
      <c r="P148" s="2">
        <v>45698</v>
      </c>
      <c r="Q148" t="s">
        <v>27</v>
      </c>
      <c r="R148">
        <v>36</v>
      </c>
      <c r="T148" t="s">
        <v>40</v>
      </c>
      <c r="U148" t="s">
        <v>202</v>
      </c>
      <c r="V148" t="s">
        <v>329</v>
      </c>
    </row>
    <row r="149" spans="1:22" x14ac:dyDescent="0.3">
      <c r="A149" t="s">
        <v>253</v>
      </c>
      <c r="B149" t="s">
        <v>30</v>
      </c>
      <c r="C149" t="s">
        <v>45</v>
      </c>
      <c r="D149">
        <v>8</v>
      </c>
      <c r="E149">
        <v>8</v>
      </c>
      <c r="F149">
        <v>1110</v>
      </c>
      <c r="G149">
        <f>1124+212+1426+50+525+274+10+1</f>
        <v>3622</v>
      </c>
      <c r="H149">
        <v>0</v>
      </c>
      <c r="I149">
        <v>0</v>
      </c>
      <c r="J149">
        <v>0</v>
      </c>
      <c r="K149">
        <v>26.48</v>
      </c>
      <c r="L149">
        <v>1110</v>
      </c>
      <c r="M149">
        <v>1000</v>
      </c>
      <c r="N149" s="2">
        <v>45694</v>
      </c>
      <c r="O149" s="2">
        <v>46787</v>
      </c>
      <c r="P149" s="2">
        <v>45694</v>
      </c>
      <c r="Q149" t="s">
        <v>27</v>
      </c>
      <c r="R149">
        <v>36</v>
      </c>
      <c r="T149" t="s">
        <v>40</v>
      </c>
      <c r="U149" t="s">
        <v>202</v>
      </c>
      <c r="V149" t="s">
        <v>329</v>
      </c>
    </row>
    <row r="150" spans="1:22" x14ac:dyDescent="0.3">
      <c r="A150" t="s">
        <v>254</v>
      </c>
      <c r="B150" t="s">
        <v>30</v>
      </c>
      <c r="C150" t="s">
        <v>45</v>
      </c>
      <c r="D150">
        <v>8</v>
      </c>
      <c r="E150">
        <v>8</v>
      </c>
      <c r="F150">
        <v>1200</v>
      </c>
      <c r="G150">
        <f>100+1124+212+669+1+1+85+40</f>
        <v>2232</v>
      </c>
      <c r="H150">
        <v>0</v>
      </c>
      <c r="I150">
        <v>0</v>
      </c>
      <c r="J150">
        <v>0</v>
      </c>
      <c r="K150">
        <v>26.47</v>
      </c>
      <c r="L150">
        <v>1200</v>
      </c>
      <c r="M150">
        <v>1000</v>
      </c>
      <c r="N150" s="2">
        <v>45689</v>
      </c>
      <c r="O150" s="2">
        <v>46780</v>
      </c>
      <c r="P150" s="2">
        <v>45691</v>
      </c>
      <c r="Q150" t="s">
        <v>27</v>
      </c>
      <c r="R150">
        <v>36</v>
      </c>
      <c r="T150" t="s">
        <v>40</v>
      </c>
      <c r="U150" t="s">
        <v>202</v>
      </c>
      <c r="V150" t="s">
        <v>329</v>
      </c>
    </row>
    <row r="151" spans="1:22" x14ac:dyDescent="0.3">
      <c r="A151" t="s">
        <v>238</v>
      </c>
      <c r="B151" t="s">
        <v>238</v>
      </c>
      <c r="C151" t="s">
        <v>45</v>
      </c>
      <c r="D151">
        <v>25</v>
      </c>
      <c r="E151">
        <v>9</v>
      </c>
      <c r="F151">
        <v>141</v>
      </c>
      <c r="G151">
        <f>7000+5000+100+26+50+21+1025+10+10</f>
        <v>13242</v>
      </c>
      <c r="H151">
        <v>249</v>
      </c>
      <c r="I151">
        <f>D151-E151</f>
        <v>16</v>
      </c>
      <c r="J151">
        <f>2+43+5+10*6+5+1+1+2+189+1+15</f>
        <v>324</v>
      </c>
      <c r="K151">
        <v>27</v>
      </c>
      <c r="L151">
        <v>195</v>
      </c>
      <c r="M151">
        <v>1000</v>
      </c>
      <c r="N151" s="2">
        <v>45653</v>
      </c>
      <c r="O151" s="2">
        <v>47752</v>
      </c>
      <c r="P151" s="2">
        <v>45653</v>
      </c>
      <c r="Q151" t="s">
        <v>27</v>
      </c>
      <c r="R151">
        <v>9</v>
      </c>
      <c r="T151" t="s">
        <v>39</v>
      </c>
      <c r="V151" t="s">
        <v>329</v>
      </c>
    </row>
    <row r="152" spans="1:22" x14ac:dyDescent="0.3">
      <c r="A152" t="s">
        <v>255</v>
      </c>
      <c r="B152" t="s">
        <v>30</v>
      </c>
      <c r="C152" t="s">
        <v>45</v>
      </c>
      <c r="D152">
        <v>4</v>
      </c>
      <c r="E152">
        <v>4</v>
      </c>
      <c r="F152">
        <v>1200</v>
      </c>
      <c r="G152">
        <f>75+1+5+40</f>
        <v>121</v>
      </c>
      <c r="H152">
        <v>0</v>
      </c>
      <c r="I152">
        <v>0</v>
      </c>
      <c r="J152">
        <v>0</v>
      </c>
      <c r="K152">
        <v>25</v>
      </c>
      <c r="L152">
        <v>1200</v>
      </c>
      <c r="M152">
        <v>1000</v>
      </c>
      <c r="N152" s="2">
        <v>45632</v>
      </c>
      <c r="O152" s="2">
        <v>46727</v>
      </c>
      <c r="P152" s="2">
        <v>45632</v>
      </c>
      <c r="Q152" t="s">
        <v>27</v>
      </c>
      <c r="R152">
        <v>36</v>
      </c>
      <c r="T152" t="s">
        <v>40</v>
      </c>
      <c r="U152" t="s">
        <v>202</v>
      </c>
      <c r="V152" t="s">
        <v>329</v>
      </c>
    </row>
    <row r="153" spans="1:22" x14ac:dyDescent="0.3">
      <c r="A153" t="s">
        <v>256</v>
      </c>
      <c r="B153" t="s">
        <v>30</v>
      </c>
      <c r="C153" t="s">
        <v>45</v>
      </c>
      <c r="D153">
        <v>12</v>
      </c>
      <c r="E153">
        <v>12</v>
      </c>
      <c r="F153">
        <v>1052</v>
      </c>
      <c r="G153">
        <f>110+1143+555+1242+16+300+555+297+200+2+2+1</f>
        <v>4423</v>
      </c>
      <c r="H153">
        <v>0</v>
      </c>
      <c r="I153">
        <v>0</v>
      </c>
      <c r="J153">
        <v>0</v>
      </c>
      <c r="K153">
        <v>22.9</v>
      </c>
      <c r="L153">
        <v>1052</v>
      </c>
      <c r="M153">
        <v>1000</v>
      </c>
      <c r="N153" s="2">
        <v>45629</v>
      </c>
      <c r="O153" s="2">
        <v>46723</v>
      </c>
      <c r="P153" s="2">
        <v>45629</v>
      </c>
      <c r="Q153" t="s">
        <v>27</v>
      </c>
      <c r="R153">
        <v>36</v>
      </c>
      <c r="T153" t="s">
        <v>39</v>
      </c>
      <c r="U153" t="s">
        <v>202</v>
      </c>
      <c r="V153" t="s">
        <v>329</v>
      </c>
    </row>
    <row r="154" spans="1:22" x14ac:dyDescent="0.3">
      <c r="A154" t="s">
        <v>238</v>
      </c>
      <c r="B154" t="s">
        <v>238</v>
      </c>
      <c r="C154" t="s">
        <v>45</v>
      </c>
      <c r="D154">
        <v>30</v>
      </c>
      <c r="E154">
        <v>11</v>
      </c>
      <c r="F154">
        <v>117</v>
      </c>
      <c r="G154">
        <f>43112+5000+1000+218+100+10+50+21+802+10+3</f>
        <v>50326</v>
      </c>
      <c r="H154">
        <v>250</v>
      </c>
      <c r="I154">
        <v>19</v>
      </c>
      <c r="J154">
        <f>3+15+5+1+32+7+20+41+150+78+99+50+5+1+6+6+50+491+34</f>
        <v>1094</v>
      </c>
      <c r="K154">
        <v>26</v>
      </c>
      <c r="L154">
        <v>183.5</v>
      </c>
      <c r="M154">
        <v>1000</v>
      </c>
      <c r="N154" s="2">
        <v>45629</v>
      </c>
      <c r="O154" s="2">
        <v>47728</v>
      </c>
      <c r="P154" s="2">
        <v>45629</v>
      </c>
      <c r="Q154" t="s">
        <v>27</v>
      </c>
      <c r="R154">
        <v>9</v>
      </c>
      <c r="T154" t="s">
        <v>39</v>
      </c>
      <c r="U154" t="s">
        <v>202</v>
      </c>
      <c r="V154" t="s">
        <v>329</v>
      </c>
    </row>
    <row r="155" spans="1:22" x14ac:dyDescent="0.3">
      <c r="A155" t="s">
        <v>257</v>
      </c>
      <c r="B155" t="s">
        <v>30</v>
      </c>
      <c r="C155" t="s">
        <v>45</v>
      </c>
      <c r="D155">
        <v>6</v>
      </c>
      <c r="E155">
        <v>6</v>
      </c>
      <c r="F155">
        <v>1111</v>
      </c>
      <c r="G155">
        <f>110+111+50+555+45+111</f>
        <v>982</v>
      </c>
      <c r="H155">
        <v>0</v>
      </c>
      <c r="I155">
        <v>0</v>
      </c>
      <c r="J155">
        <v>0</v>
      </c>
      <c r="K155">
        <v>24</v>
      </c>
      <c r="L155">
        <v>1111</v>
      </c>
      <c r="M155">
        <v>1000</v>
      </c>
      <c r="N155" s="2">
        <v>45625</v>
      </c>
      <c r="O155" s="2">
        <v>46720</v>
      </c>
      <c r="P155" s="2">
        <v>45625</v>
      </c>
      <c r="Q155" t="s">
        <v>27</v>
      </c>
      <c r="R155">
        <v>36</v>
      </c>
      <c r="T155" t="s">
        <v>40</v>
      </c>
      <c r="U155" t="s">
        <v>202</v>
      </c>
      <c r="V155" t="s">
        <v>329</v>
      </c>
    </row>
    <row r="156" spans="1:22" x14ac:dyDescent="0.3">
      <c r="A156" t="s">
        <v>258</v>
      </c>
      <c r="B156" t="s">
        <v>30</v>
      </c>
      <c r="C156" t="s">
        <v>45</v>
      </c>
      <c r="D156">
        <v>8</v>
      </c>
      <c r="E156">
        <v>8</v>
      </c>
      <c r="F156">
        <v>1300</v>
      </c>
      <c r="G156">
        <f>11+105+545+250+41+3+9+100</f>
        <v>1064</v>
      </c>
      <c r="H156">
        <v>0</v>
      </c>
      <c r="I156">
        <v>0</v>
      </c>
      <c r="J156">
        <v>0</v>
      </c>
      <c r="K156">
        <v>26</v>
      </c>
      <c r="L156">
        <v>1224</v>
      </c>
      <c r="M156">
        <v>1000</v>
      </c>
      <c r="N156" s="2">
        <v>45619</v>
      </c>
      <c r="O156" s="2">
        <v>46713</v>
      </c>
      <c r="P156" s="2">
        <v>45621</v>
      </c>
      <c r="Q156" t="s">
        <v>27</v>
      </c>
      <c r="R156">
        <v>36</v>
      </c>
      <c r="T156" t="s">
        <v>40</v>
      </c>
      <c r="U156" t="s">
        <v>202</v>
      </c>
      <c r="V156" t="s">
        <v>329</v>
      </c>
    </row>
    <row r="157" spans="1:22" x14ac:dyDescent="0.3">
      <c r="A157" t="s">
        <v>259</v>
      </c>
      <c r="B157" t="s">
        <v>30</v>
      </c>
      <c r="C157" t="s">
        <v>45</v>
      </c>
      <c r="D157">
        <v>10</v>
      </c>
      <c r="E157">
        <v>10</v>
      </c>
      <c r="F157">
        <v>1111</v>
      </c>
      <c r="G157">
        <f>10+238+50+555+3+2+273+1+40+45</f>
        <v>1217</v>
      </c>
      <c r="H157">
        <v>0</v>
      </c>
      <c r="I157">
        <v>0</v>
      </c>
      <c r="J157">
        <v>0</v>
      </c>
      <c r="K157">
        <v>24</v>
      </c>
      <c r="L157">
        <v>1111</v>
      </c>
      <c r="M157">
        <v>1000</v>
      </c>
      <c r="N157" s="2">
        <v>45618</v>
      </c>
      <c r="O157" s="2">
        <v>46713</v>
      </c>
      <c r="P157" s="2">
        <v>45618</v>
      </c>
      <c r="Q157" t="s">
        <v>27</v>
      </c>
      <c r="R157">
        <v>36</v>
      </c>
      <c r="T157" t="s">
        <v>40</v>
      </c>
      <c r="U157" t="s">
        <v>202</v>
      </c>
      <c r="V157" t="s">
        <v>329</v>
      </c>
    </row>
    <row r="158" spans="1:22" x14ac:dyDescent="0.3">
      <c r="A158" t="s">
        <v>260</v>
      </c>
      <c r="B158" t="s">
        <v>30</v>
      </c>
      <c r="C158" t="s">
        <v>45</v>
      </c>
      <c r="D158">
        <v>9</v>
      </c>
      <c r="E158">
        <v>9</v>
      </c>
      <c r="F158">
        <v>1200</v>
      </c>
      <c r="G158">
        <f>112+1015+1641+1+1+47+1+555+43</f>
        <v>3416</v>
      </c>
      <c r="H158">
        <v>0</v>
      </c>
      <c r="I158">
        <v>0</v>
      </c>
      <c r="J158">
        <v>0</v>
      </c>
      <c r="K158">
        <v>26.3</v>
      </c>
      <c r="L158">
        <v>1200</v>
      </c>
      <c r="M158">
        <v>1000</v>
      </c>
      <c r="N158" s="2">
        <v>45609</v>
      </c>
      <c r="O158" s="2">
        <v>46155</v>
      </c>
      <c r="P158" s="2">
        <v>45609</v>
      </c>
      <c r="Q158" t="s">
        <v>27</v>
      </c>
      <c r="R158">
        <v>18</v>
      </c>
      <c r="T158" t="s">
        <v>40</v>
      </c>
      <c r="U158" t="s">
        <v>202</v>
      </c>
      <c r="V158" t="s">
        <v>329</v>
      </c>
    </row>
    <row r="159" spans="1:22" x14ac:dyDescent="0.3">
      <c r="A159" t="s">
        <v>261</v>
      </c>
      <c r="B159" t="s">
        <v>262</v>
      </c>
      <c r="C159" t="s">
        <v>45</v>
      </c>
      <c r="D159">
        <v>6</v>
      </c>
      <c r="E159">
        <v>3</v>
      </c>
      <c r="F159">
        <v>200</v>
      </c>
      <c r="G159">
        <f>501+5+540</f>
        <v>1046</v>
      </c>
      <c r="H159">
        <v>204</v>
      </c>
      <c r="I159">
        <v>3</v>
      </c>
      <c r="J159">
        <f>71+702+7</f>
        <v>780</v>
      </c>
      <c r="K159">
        <v>25.5</v>
      </c>
      <c r="L159">
        <v>202</v>
      </c>
      <c r="M159">
        <v>200</v>
      </c>
      <c r="N159" s="2">
        <v>45609</v>
      </c>
      <c r="O159" s="2">
        <v>46154</v>
      </c>
      <c r="P159" s="2">
        <v>45609</v>
      </c>
      <c r="Q159" t="s">
        <v>27</v>
      </c>
      <c r="R159">
        <v>18</v>
      </c>
      <c r="T159" t="s">
        <v>39</v>
      </c>
      <c r="U159" t="s">
        <v>263</v>
      </c>
      <c r="V159" t="s">
        <v>329</v>
      </c>
    </row>
    <row r="160" spans="1:22" x14ac:dyDescent="0.3">
      <c r="A160" t="s">
        <v>264</v>
      </c>
      <c r="B160" t="s">
        <v>30</v>
      </c>
      <c r="C160" t="s">
        <v>45</v>
      </c>
      <c r="D160">
        <v>12</v>
      </c>
      <c r="E160">
        <v>12</v>
      </c>
      <c r="F160">
        <v>1013</v>
      </c>
      <c r="G160">
        <f>110+1130+212+114+55+50+1+1+1+1+1+10</f>
        <v>1686</v>
      </c>
      <c r="H160">
        <v>0</v>
      </c>
      <c r="I160">
        <v>0</v>
      </c>
      <c r="J160">
        <v>0</v>
      </c>
      <c r="K160">
        <v>23.67</v>
      </c>
      <c r="L160">
        <v>1013</v>
      </c>
      <c r="M160">
        <v>1000</v>
      </c>
      <c r="N160" s="2">
        <v>45605</v>
      </c>
      <c r="O160" s="2">
        <v>46699</v>
      </c>
      <c r="P160" s="2">
        <v>45607</v>
      </c>
      <c r="Q160" t="s">
        <v>27</v>
      </c>
      <c r="R160">
        <v>36</v>
      </c>
      <c r="T160" t="s">
        <v>40</v>
      </c>
      <c r="U160" t="s">
        <v>202</v>
      </c>
      <c r="V160" t="s">
        <v>329</v>
      </c>
    </row>
    <row r="161" spans="1:22" x14ac:dyDescent="0.3">
      <c r="A161" t="s">
        <v>265</v>
      </c>
      <c r="B161" t="s">
        <v>30</v>
      </c>
      <c r="C161" t="s">
        <v>45</v>
      </c>
      <c r="D161">
        <v>8</v>
      </c>
      <c r="E161">
        <v>8</v>
      </c>
      <c r="F161">
        <v>1200</v>
      </c>
      <c r="G161">
        <f>121+1041+1000+1162+200+555+555+542</f>
        <v>5176</v>
      </c>
      <c r="H161">
        <v>0</v>
      </c>
      <c r="I161">
        <v>0</v>
      </c>
      <c r="J161">
        <v>0</v>
      </c>
      <c r="K161">
        <v>26.1</v>
      </c>
      <c r="L161">
        <v>1200</v>
      </c>
      <c r="M161">
        <v>1000</v>
      </c>
      <c r="N161" s="2">
        <v>45605</v>
      </c>
      <c r="O161" s="2">
        <v>46335</v>
      </c>
      <c r="P161" s="2">
        <v>45607</v>
      </c>
      <c r="Q161" t="s">
        <v>27</v>
      </c>
      <c r="R161">
        <v>24</v>
      </c>
      <c r="T161" t="s">
        <v>40</v>
      </c>
      <c r="U161" t="s">
        <v>202</v>
      </c>
      <c r="V161" t="s">
        <v>329</v>
      </c>
    </row>
    <row r="162" spans="1:22" x14ac:dyDescent="0.3">
      <c r="A162" t="s">
        <v>266</v>
      </c>
      <c r="B162" t="s">
        <v>30</v>
      </c>
      <c r="C162" t="s">
        <v>45</v>
      </c>
      <c r="D162">
        <v>9</v>
      </c>
      <c r="E162">
        <v>9</v>
      </c>
      <c r="F162">
        <v>1006</v>
      </c>
      <c r="G162">
        <f>111+1130+212+605+555+50+50+120+3</f>
        <v>2836</v>
      </c>
      <c r="H162">
        <v>0</v>
      </c>
      <c r="I162">
        <v>0</v>
      </c>
      <c r="J162">
        <v>0</v>
      </c>
      <c r="K162">
        <v>23.34</v>
      </c>
      <c r="L162">
        <v>1006</v>
      </c>
      <c r="M162">
        <v>1000</v>
      </c>
      <c r="N162" s="2">
        <v>45597</v>
      </c>
      <c r="O162" s="2">
        <v>46689</v>
      </c>
      <c r="P162" s="2">
        <v>45597</v>
      </c>
      <c r="Q162" t="s">
        <v>27</v>
      </c>
      <c r="R162">
        <v>36</v>
      </c>
      <c r="T162" t="s">
        <v>40</v>
      </c>
      <c r="U162" t="s">
        <v>202</v>
      </c>
      <c r="V162" t="s">
        <v>329</v>
      </c>
    </row>
    <row r="163" spans="1:22" x14ac:dyDescent="0.3">
      <c r="A163" t="s">
        <v>267</v>
      </c>
      <c r="B163" t="s">
        <v>268</v>
      </c>
      <c r="C163" t="s">
        <v>45</v>
      </c>
      <c r="D163">
        <v>15</v>
      </c>
      <c r="E163">
        <v>5</v>
      </c>
      <c r="F163">
        <v>105</v>
      </c>
      <c r="G163">
        <f>477+105+15+4+30</f>
        <v>631</v>
      </c>
      <c r="H163">
        <v>305</v>
      </c>
      <c r="I163">
        <v>10</v>
      </c>
      <c r="J163">
        <f>8+1+1+1+2+2+2+10+10+1</f>
        <v>38</v>
      </c>
      <c r="K163">
        <v>20.5</v>
      </c>
      <c r="L163">
        <v>205</v>
      </c>
      <c r="M163">
        <v>1000</v>
      </c>
      <c r="N163" s="2">
        <v>45469</v>
      </c>
      <c r="O163" s="2">
        <v>47660</v>
      </c>
      <c r="P163" s="2">
        <v>45470</v>
      </c>
      <c r="Q163" t="s">
        <v>27</v>
      </c>
      <c r="R163">
        <v>12</v>
      </c>
      <c r="T163" t="s">
        <v>39</v>
      </c>
      <c r="V163" t="s">
        <v>329</v>
      </c>
    </row>
    <row r="164" spans="1:22" x14ac:dyDescent="0.3">
      <c r="A164" t="s">
        <v>269</v>
      </c>
      <c r="B164" t="s">
        <v>272</v>
      </c>
      <c r="C164" t="s">
        <v>45</v>
      </c>
      <c r="D164">
        <v>38</v>
      </c>
      <c r="E164">
        <v>18</v>
      </c>
      <c r="F164">
        <v>1026.02</v>
      </c>
      <c r="G164">
        <f>2+2+9+1+1+3+5+20+1+1+2+50+1+6+25+5+25+1</f>
        <v>160</v>
      </c>
      <c r="H164">
        <v>1031.97</v>
      </c>
      <c r="I164">
        <v>20</v>
      </c>
      <c r="J164">
        <f>1+2+1+1+10+8+20+5+1+8+7+128+20+5+7+6+5+6+20+15</f>
        <v>276</v>
      </c>
      <c r="K164">
        <v>19.5</v>
      </c>
      <c r="L164">
        <v>1031.97</v>
      </c>
      <c r="M164">
        <v>1000</v>
      </c>
      <c r="N164" s="2">
        <v>46072</v>
      </c>
      <c r="O164" s="2">
        <v>46437</v>
      </c>
      <c r="Q164" t="s">
        <v>27</v>
      </c>
      <c r="R164">
        <v>12</v>
      </c>
      <c r="S164">
        <v>4.8</v>
      </c>
      <c r="T164" t="s">
        <v>39</v>
      </c>
      <c r="V164" t="s">
        <v>327</v>
      </c>
    </row>
    <row r="165" spans="1:22" x14ac:dyDescent="0.3">
      <c r="A165" t="s">
        <v>273</v>
      </c>
      <c r="B165" t="s">
        <v>274</v>
      </c>
      <c r="C165" t="s">
        <v>45</v>
      </c>
      <c r="D165">
        <v>40</v>
      </c>
      <c r="E165">
        <v>20</v>
      </c>
      <c r="F165">
        <v>1007</v>
      </c>
      <c r="G165">
        <f>54+19+103+12+3+2+1+1+15+5+105+7+82+6+6+75+5+13+2+4</f>
        <v>520</v>
      </c>
      <c r="H165">
        <v>1014.01</v>
      </c>
      <c r="I165">
        <v>20</v>
      </c>
      <c r="J165">
        <f>3+38+27+12+65+87+45+49+5+20+1+368+48+20+10+137+107+147+10+49</f>
        <v>1248</v>
      </c>
      <c r="K165">
        <v>19.25</v>
      </c>
      <c r="L165">
        <v>1012</v>
      </c>
      <c r="M165">
        <v>1000</v>
      </c>
      <c r="N165" s="2">
        <v>46498</v>
      </c>
      <c r="O165" s="2">
        <v>46499</v>
      </c>
      <c r="Q165" t="s">
        <v>27</v>
      </c>
      <c r="R165">
        <v>12</v>
      </c>
      <c r="S165">
        <v>19.25</v>
      </c>
      <c r="T165" t="s">
        <v>39</v>
      </c>
      <c r="U165" t="s">
        <v>169</v>
      </c>
      <c r="V165" t="s">
        <v>327</v>
      </c>
    </row>
    <row r="166" spans="1:22" x14ac:dyDescent="0.3">
      <c r="A166" t="s">
        <v>275</v>
      </c>
      <c r="B166" t="s">
        <v>276</v>
      </c>
      <c r="C166" t="s">
        <v>45</v>
      </c>
      <c r="D166">
        <v>40</v>
      </c>
      <c r="E166">
        <v>20</v>
      </c>
      <c r="F166">
        <v>1007</v>
      </c>
      <c r="G166">
        <f>87+1+1+2+2+49+211+61+20+1+8+3+1+7+5+25+20+3+20+1</f>
        <v>528</v>
      </c>
      <c r="H166">
        <v>1010</v>
      </c>
      <c r="I166">
        <v>20</v>
      </c>
      <c r="J166">
        <f>50+120+23+6+47+51+68+2+3+10+242+127+3+30+1+3+4+2+1+347</f>
        <v>1140</v>
      </c>
      <c r="K166">
        <v>18</v>
      </c>
      <c r="L166">
        <v>1010</v>
      </c>
      <c r="M166">
        <v>1000</v>
      </c>
      <c r="N166" s="2">
        <v>46098</v>
      </c>
      <c r="O166" s="2">
        <v>46465</v>
      </c>
      <c r="Q166" t="s">
        <v>27</v>
      </c>
      <c r="R166">
        <v>12</v>
      </c>
      <c r="S166">
        <v>5.42</v>
      </c>
      <c r="T166" t="s">
        <v>39</v>
      </c>
      <c r="U166" t="s">
        <v>277</v>
      </c>
      <c r="V166" t="s">
        <v>327</v>
      </c>
    </row>
    <row r="167" spans="1:22" x14ac:dyDescent="0.3">
      <c r="A167" t="s">
        <v>278</v>
      </c>
      <c r="B167" t="s">
        <v>181</v>
      </c>
      <c r="C167" t="s">
        <v>45</v>
      </c>
      <c r="D167">
        <v>38</v>
      </c>
      <c r="E167">
        <v>20</v>
      </c>
      <c r="F167">
        <v>1028.68</v>
      </c>
      <c r="G167">
        <f>1+100+45+3+1+4+10+1+8+1+1+1+14+12+5+35+30+9+1+1</f>
        <v>283</v>
      </c>
      <c r="H167">
        <v>1028.7</v>
      </c>
      <c r="I167">
        <v>18</v>
      </c>
      <c r="J167">
        <f>368+1+55+8+10+5+500+20+1+550+1+12+8+501+10+102+50+2</f>
        <v>2204</v>
      </c>
      <c r="K167">
        <v>20.5</v>
      </c>
      <c r="L167">
        <v>1028.7</v>
      </c>
      <c r="M167">
        <v>1000</v>
      </c>
      <c r="N167" s="2">
        <v>45986</v>
      </c>
      <c r="O167" s="2">
        <v>46349</v>
      </c>
      <c r="Q167" t="s">
        <v>27</v>
      </c>
      <c r="R167">
        <v>12</v>
      </c>
      <c r="S167">
        <v>5.05</v>
      </c>
      <c r="T167" t="s">
        <v>39</v>
      </c>
      <c r="V167" t="s">
        <v>327</v>
      </c>
    </row>
    <row r="168" spans="1:22" x14ac:dyDescent="0.3">
      <c r="A168" t="s">
        <v>293</v>
      </c>
      <c r="B168" t="s">
        <v>181</v>
      </c>
      <c r="C168" t="s">
        <v>45</v>
      </c>
      <c r="D168">
        <v>29</v>
      </c>
      <c r="E168">
        <v>9</v>
      </c>
      <c r="F168">
        <v>1037.8499999999999</v>
      </c>
      <c r="G168">
        <f>2+1+1+5+2+2+9+4+6</f>
        <v>32</v>
      </c>
      <c r="H168">
        <v>1044.78</v>
      </c>
      <c r="I168">
        <v>20</v>
      </c>
      <c r="J168">
        <f>2+1+3+2+155+23+1+109+171+3+1+1+1+1+21+3+5+30+5+400</f>
        <v>938</v>
      </c>
      <c r="K168">
        <v>20.5</v>
      </c>
      <c r="L168">
        <v>1037.8499999999999</v>
      </c>
      <c r="M168">
        <v>1000</v>
      </c>
      <c r="N168" s="2">
        <v>46104</v>
      </c>
      <c r="O168" s="2">
        <v>46381</v>
      </c>
      <c r="Q168" t="s">
        <v>27</v>
      </c>
      <c r="R168">
        <v>8</v>
      </c>
      <c r="S168">
        <v>2.8</v>
      </c>
      <c r="T168" t="s">
        <v>39</v>
      </c>
      <c r="V168" t="s">
        <v>327</v>
      </c>
    </row>
    <row r="169" spans="1:22" x14ac:dyDescent="0.3">
      <c r="A169" t="s">
        <v>292</v>
      </c>
      <c r="B169" t="s">
        <v>181</v>
      </c>
      <c r="C169" t="s">
        <v>45</v>
      </c>
      <c r="D169">
        <v>27</v>
      </c>
      <c r="E169">
        <v>19</v>
      </c>
      <c r="F169">
        <v>1032.54</v>
      </c>
      <c r="G169">
        <f>10+6+1+2+1+3+10+20+50+1+7+1+1+80+1+5+7+4+10</f>
        <v>220</v>
      </c>
      <c r="H169">
        <v>1050</v>
      </c>
      <c r="I169">
        <v>8</v>
      </c>
      <c r="J169">
        <f>67+46+27+5+32+52+30+2</f>
        <v>261</v>
      </c>
      <c r="K169">
        <v>20.5</v>
      </c>
      <c r="L169">
        <v>1050</v>
      </c>
      <c r="M169">
        <v>1000</v>
      </c>
      <c r="N169" s="2">
        <v>46125</v>
      </c>
      <c r="O169" s="2">
        <v>46402</v>
      </c>
      <c r="Q169" t="s">
        <v>27</v>
      </c>
      <c r="R169">
        <v>9</v>
      </c>
      <c r="S169">
        <v>11.79</v>
      </c>
      <c r="T169" t="s">
        <v>39</v>
      </c>
      <c r="V169" t="s">
        <v>327</v>
      </c>
    </row>
    <row r="170" spans="1:22" x14ac:dyDescent="0.3">
      <c r="A170" t="s">
        <v>280</v>
      </c>
      <c r="B170" t="s">
        <v>281</v>
      </c>
      <c r="C170" t="s">
        <v>45</v>
      </c>
      <c r="D170">
        <v>40</v>
      </c>
      <c r="E170">
        <v>20</v>
      </c>
      <c r="F170">
        <v>1012</v>
      </c>
      <c r="G170">
        <f>1+3+1+1+2+51+50+5+4+15+11+10+4+13+25+11+25+25+1+1</f>
        <v>259</v>
      </c>
      <c r="H170">
        <v>1016.4</v>
      </c>
      <c r="I170">
        <v>20</v>
      </c>
      <c r="J170">
        <f>11+1+10+23+5+1+15+4+1+1+2+17+1+10+54+10+1+5+3+5</f>
        <v>180</v>
      </c>
      <c r="K170">
        <v>18.5</v>
      </c>
      <c r="L170">
        <v>1016.4</v>
      </c>
      <c r="M170">
        <v>1000</v>
      </c>
      <c r="N170" s="2">
        <v>46002</v>
      </c>
      <c r="O170" s="2">
        <v>46370</v>
      </c>
      <c r="Q170" t="s">
        <v>27</v>
      </c>
      <c r="R170">
        <v>12</v>
      </c>
      <c r="S170">
        <v>9.1199999999999992</v>
      </c>
      <c r="T170" t="s">
        <v>39</v>
      </c>
      <c r="V170" t="s">
        <v>327</v>
      </c>
    </row>
    <row r="171" spans="1:22" x14ac:dyDescent="0.3">
      <c r="A171" t="s">
        <v>282</v>
      </c>
      <c r="B171" t="s">
        <v>283</v>
      </c>
      <c r="C171" t="s">
        <v>45</v>
      </c>
      <c r="D171">
        <v>40</v>
      </c>
      <c r="E171">
        <v>20</v>
      </c>
      <c r="F171">
        <v>1026.5999999999999</v>
      </c>
      <c r="G171">
        <f>1+5+3+2+2+1+25+5+1+6+6+1+2+7+1+1+50+102+2+2</f>
        <v>225</v>
      </c>
      <c r="H171">
        <v>1037.22</v>
      </c>
      <c r="I171">
        <v>20</v>
      </c>
      <c r="J171">
        <f>4+5+4+12+5+58+100+21+100+1+3+20+100+76+342+30+20</f>
        <v>901</v>
      </c>
      <c r="K171">
        <v>20</v>
      </c>
      <c r="L171">
        <v>1037.23</v>
      </c>
      <c r="M171">
        <v>1000</v>
      </c>
      <c r="N171" s="2">
        <v>45967</v>
      </c>
      <c r="O171" s="2">
        <v>46335</v>
      </c>
      <c r="Q171" t="s">
        <v>27</v>
      </c>
      <c r="R171">
        <v>12</v>
      </c>
      <c r="S171">
        <v>13.15</v>
      </c>
      <c r="T171" t="s">
        <v>39</v>
      </c>
      <c r="U171" t="s">
        <v>277</v>
      </c>
      <c r="V171" t="s">
        <v>327</v>
      </c>
    </row>
    <row r="172" spans="1:22" x14ac:dyDescent="0.3">
      <c r="A172" t="s">
        <v>291</v>
      </c>
      <c r="B172" t="s">
        <v>283</v>
      </c>
      <c r="C172" t="s">
        <v>45</v>
      </c>
      <c r="D172">
        <v>28</v>
      </c>
      <c r="E172">
        <v>8</v>
      </c>
      <c r="F172">
        <v>1037.8499999999999</v>
      </c>
      <c r="G172">
        <f>5+8+9+2+2+5+1</f>
        <v>32</v>
      </c>
      <c r="H172">
        <v>1044.78</v>
      </c>
      <c r="I172">
        <v>20</v>
      </c>
      <c r="J172">
        <f>1+3+2+155+23+1+109+171+3+4+21+3+5+30+5+300</f>
        <v>836</v>
      </c>
      <c r="K172">
        <v>20.5</v>
      </c>
      <c r="L172">
        <v>1037.8499999999999</v>
      </c>
      <c r="M172">
        <v>1000</v>
      </c>
      <c r="N172" s="2">
        <v>46104</v>
      </c>
      <c r="O172" s="2">
        <v>46381</v>
      </c>
      <c r="Q172" t="s">
        <v>27</v>
      </c>
      <c r="R172">
        <v>9</v>
      </c>
      <c r="S172">
        <v>3.36</v>
      </c>
      <c r="T172" t="s">
        <v>39</v>
      </c>
      <c r="V172" t="s">
        <v>327</v>
      </c>
    </row>
    <row r="173" spans="1:22" x14ac:dyDescent="0.3">
      <c r="A173" t="s">
        <v>284</v>
      </c>
      <c r="B173" t="s">
        <v>283</v>
      </c>
      <c r="C173" t="s">
        <v>45</v>
      </c>
      <c r="D173">
        <v>40</v>
      </c>
      <c r="E173">
        <v>20</v>
      </c>
      <c r="F173">
        <v>1001</v>
      </c>
      <c r="G173">
        <f>1+1+86+382+11+11+2+6+1+9+64+43+5+3+1+1+2+1+1+1</f>
        <v>632</v>
      </c>
      <c r="H173">
        <v>1003.97</v>
      </c>
      <c r="I173">
        <v>20</v>
      </c>
      <c r="J173">
        <f>7+30+255+123+30+56+147+10+193+5+10+25+21+5+7+88+24+5+66+58</f>
        <v>1165</v>
      </c>
      <c r="K173">
        <v>18.5</v>
      </c>
      <c r="L173">
        <v>1003.99</v>
      </c>
      <c r="M173">
        <v>1000</v>
      </c>
      <c r="N173" s="2">
        <v>45931</v>
      </c>
      <c r="O173" s="2">
        <v>46297</v>
      </c>
      <c r="Q173" t="s">
        <v>27</v>
      </c>
      <c r="R173">
        <v>12</v>
      </c>
      <c r="S173">
        <v>0.5</v>
      </c>
      <c r="T173" t="s">
        <v>39</v>
      </c>
      <c r="U173" t="s">
        <v>158</v>
      </c>
      <c r="V173" t="s">
        <v>327</v>
      </c>
    </row>
    <row r="174" spans="1:22" x14ac:dyDescent="0.3">
      <c r="A174" t="s">
        <v>285</v>
      </c>
      <c r="B174" t="s">
        <v>286</v>
      </c>
      <c r="C174" t="s">
        <v>45</v>
      </c>
      <c r="D174">
        <v>40</v>
      </c>
      <c r="E174">
        <v>20</v>
      </c>
      <c r="F174">
        <v>1011.29</v>
      </c>
      <c r="G174">
        <f>1+125+44+5+5+9+1+50+3+3+4+3+14+5+1+3+39+25+10+1</f>
        <v>351</v>
      </c>
      <c r="H174">
        <v>1020.93</v>
      </c>
      <c r="I174">
        <v>20</v>
      </c>
      <c r="J174">
        <f>7+9+395+10+70+10+100+100+70+3+6+20+1839+1+10+26+22+10+1+31</f>
        <v>2740</v>
      </c>
      <c r="K174">
        <v>24.5</v>
      </c>
      <c r="L174">
        <v>1020.93</v>
      </c>
      <c r="M174">
        <v>1000</v>
      </c>
      <c r="N174" s="2">
        <v>45826</v>
      </c>
      <c r="O174" s="2">
        <v>46195</v>
      </c>
      <c r="Q174" t="s">
        <v>27</v>
      </c>
      <c r="R174">
        <v>12</v>
      </c>
      <c r="S174">
        <v>9.39</v>
      </c>
      <c r="T174" t="s">
        <v>39</v>
      </c>
      <c r="U174" t="s">
        <v>287</v>
      </c>
      <c r="V174" t="s">
        <v>327</v>
      </c>
    </row>
    <row r="175" spans="1:22" x14ac:dyDescent="0.3">
      <c r="A175" t="s">
        <v>290</v>
      </c>
      <c r="B175" t="s">
        <v>286</v>
      </c>
      <c r="C175" t="s">
        <v>45</v>
      </c>
      <c r="D175">
        <v>40</v>
      </c>
      <c r="E175">
        <v>20</v>
      </c>
      <c r="F175">
        <v>1012.62</v>
      </c>
      <c r="G175">
        <f>1+20+2+46+10+10+50+10+11+5+54+1+2+34+1+1+11+1+1+1</f>
        <v>272</v>
      </c>
      <c r="H175">
        <v>1018.99</v>
      </c>
      <c r="I175">
        <v>20</v>
      </c>
      <c r="J175">
        <f>2+475+1+1+1+70+30+3+85+1+2+5+1+7+208+50+158+1078+2+27</f>
        <v>2207</v>
      </c>
      <c r="K175">
        <v>21</v>
      </c>
      <c r="L175">
        <v>1019</v>
      </c>
      <c r="M175">
        <v>1000</v>
      </c>
      <c r="N175" s="2">
        <v>45888</v>
      </c>
      <c r="O175" s="2">
        <v>46346</v>
      </c>
      <c r="Q175" t="s">
        <v>27</v>
      </c>
      <c r="R175">
        <v>15</v>
      </c>
      <c r="S175">
        <v>6.32</v>
      </c>
      <c r="T175" t="s">
        <v>39</v>
      </c>
      <c r="U175" t="s">
        <v>287</v>
      </c>
      <c r="V175" t="s">
        <v>327</v>
      </c>
    </row>
    <row r="176" spans="1:22" x14ac:dyDescent="0.3">
      <c r="A176" t="s">
        <v>14</v>
      </c>
      <c r="B176" t="s">
        <v>288</v>
      </c>
      <c r="C176" t="s">
        <v>45</v>
      </c>
      <c r="D176">
        <v>40</v>
      </c>
      <c r="E176">
        <v>20</v>
      </c>
      <c r="F176">
        <v>1003</v>
      </c>
      <c r="G176">
        <f>2+29+3+6+7+1+12+42+5+2+1+1+1+1+104+1+1+60+1+2</f>
        <v>282</v>
      </c>
      <c r="H176">
        <v>1006.35</v>
      </c>
      <c r="I176">
        <v>20</v>
      </c>
      <c r="J176">
        <f>1+16+92+2+3+20+10+10+20+5+11+8+8+10+16+42+14+50+222+10</f>
        <v>570</v>
      </c>
      <c r="K176">
        <v>19</v>
      </c>
      <c r="L176">
        <v>1006.34</v>
      </c>
      <c r="M176">
        <v>1000</v>
      </c>
      <c r="N176" s="2">
        <v>45981</v>
      </c>
      <c r="O176" s="2">
        <v>46169</v>
      </c>
      <c r="Q176" t="s">
        <v>27</v>
      </c>
      <c r="R176">
        <v>6</v>
      </c>
      <c r="S176">
        <v>5.2</v>
      </c>
      <c r="T176" t="s">
        <v>39</v>
      </c>
      <c r="U176" t="s">
        <v>277</v>
      </c>
      <c r="V176" t="s">
        <v>327</v>
      </c>
    </row>
    <row r="177" spans="1:22" x14ac:dyDescent="0.3">
      <c r="A177" t="s">
        <v>289</v>
      </c>
      <c r="B177" t="s">
        <v>288</v>
      </c>
      <c r="C177" t="s">
        <v>45</v>
      </c>
      <c r="D177">
        <v>33</v>
      </c>
      <c r="E177">
        <v>13</v>
      </c>
      <c r="F177">
        <v>1008</v>
      </c>
      <c r="G177">
        <f>1+62+13+9+5+4+5+5+26+1+1+15+20</f>
        <v>167</v>
      </c>
      <c r="H177">
        <v>1010.38</v>
      </c>
      <c r="I177">
        <v>20</v>
      </c>
      <c r="J177">
        <f>28+23+15+1+1+7+9+11+1+1+1+1+7+91+24+2+1+25+10+37</f>
        <v>296</v>
      </c>
      <c r="K177">
        <v>19</v>
      </c>
      <c r="L177">
        <v>1010.41</v>
      </c>
      <c r="M177">
        <v>1000</v>
      </c>
      <c r="N177" s="2">
        <v>45993</v>
      </c>
      <c r="O177" s="2">
        <v>46174</v>
      </c>
      <c r="Q177" t="s">
        <v>27</v>
      </c>
      <c r="R177">
        <v>6</v>
      </c>
      <c r="S177">
        <v>1.56</v>
      </c>
      <c r="T177" t="s">
        <v>39</v>
      </c>
      <c r="U177" t="s">
        <v>277</v>
      </c>
      <c r="V177" t="s">
        <v>327</v>
      </c>
    </row>
    <row r="178" spans="1:22" x14ac:dyDescent="0.3">
      <c r="A178" t="s">
        <v>294</v>
      </c>
      <c r="B178" t="s">
        <v>288</v>
      </c>
      <c r="C178" t="s">
        <v>45</v>
      </c>
      <c r="D178">
        <v>40</v>
      </c>
      <c r="E178">
        <v>20</v>
      </c>
      <c r="F178">
        <v>1015.8</v>
      </c>
      <c r="G178">
        <f>1+4+5+5+5+3+3+2+2+5+1+224+1+1+90+57+100+22+1+66</f>
        <v>598</v>
      </c>
      <c r="H178">
        <v>1024.96</v>
      </c>
      <c r="I178">
        <v>20</v>
      </c>
      <c r="J178">
        <f>142+31+9+19+3+3+1+150+15+3+30+101+5+118+20+50+10+53+2500+87</f>
        <v>3350</v>
      </c>
      <c r="K178">
        <v>18</v>
      </c>
      <c r="L178">
        <v>1024.96</v>
      </c>
      <c r="M178">
        <v>1000</v>
      </c>
      <c r="N178" s="2">
        <v>46084</v>
      </c>
      <c r="O178" s="2">
        <v>46451</v>
      </c>
      <c r="Q178" t="s">
        <v>27</v>
      </c>
      <c r="R178">
        <v>12</v>
      </c>
      <c r="S178">
        <v>13.31</v>
      </c>
      <c r="T178" t="s">
        <v>39</v>
      </c>
      <c r="U178" t="s">
        <v>295</v>
      </c>
      <c r="V178" t="s">
        <v>327</v>
      </c>
    </row>
    <row r="179" spans="1:22" x14ac:dyDescent="0.3">
      <c r="A179" t="s">
        <v>296</v>
      </c>
      <c r="B179" t="s">
        <v>297</v>
      </c>
      <c r="C179" t="s">
        <v>45</v>
      </c>
      <c r="D179">
        <v>40</v>
      </c>
      <c r="E179">
        <v>20</v>
      </c>
      <c r="F179">
        <v>1007.26</v>
      </c>
      <c r="G179">
        <f>1+1+3+1+5+15+2+35+20+1+1+2+1+1+16+11+16+1+32+2</f>
        <v>167</v>
      </c>
      <c r="H179">
        <v>1008.99</v>
      </c>
      <c r="I179">
        <v>20</v>
      </c>
      <c r="J179">
        <f>1+166+26+1+1+1+1+1+1+2+32+11+78+1+7+10+4+2+2+5</f>
        <v>353</v>
      </c>
      <c r="K179">
        <v>19</v>
      </c>
      <c r="L179">
        <v>1009</v>
      </c>
      <c r="M179">
        <v>1000</v>
      </c>
      <c r="N179" s="2">
        <v>45915</v>
      </c>
      <c r="O179" s="2">
        <v>46279</v>
      </c>
      <c r="Q179" t="s">
        <v>27</v>
      </c>
      <c r="R179">
        <v>12</v>
      </c>
      <c r="S179">
        <v>10.41</v>
      </c>
      <c r="T179" t="s">
        <v>39</v>
      </c>
      <c r="V179" t="s">
        <v>327</v>
      </c>
    </row>
    <row r="180" spans="1:22" x14ac:dyDescent="0.3">
      <c r="A180" t="s">
        <v>298</v>
      </c>
      <c r="B180" t="s">
        <v>297</v>
      </c>
      <c r="C180" t="s">
        <v>45</v>
      </c>
      <c r="D180">
        <v>32</v>
      </c>
      <c r="E180">
        <v>17</v>
      </c>
      <c r="F180">
        <v>1018.51</v>
      </c>
      <c r="G180">
        <f>2+26+2+40+5+3+9+25+1+3+60+10+1+11+9+1+10</f>
        <v>218</v>
      </c>
      <c r="H180">
        <v>1020</v>
      </c>
      <c r="I180">
        <v>15</v>
      </c>
      <c r="J180">
        <f>5+1+2+10+23+50+3+1+2+1+50+62+86+100</f>
        <v>396</v>
      </c>
      <c r="K180">
        <v>20</v>
      </c>
      <c r="L180">
        <v>1018.51</v>
      </c>
      <c r="M180">
        <v>1000</v>
      </c>
      <c r="N180" s="2">
        <v>45945</v>
      </c>
      <c r="O180" s="2">
        <v>46282</v>
      </c>
      <c r="Q180" t="s">
        <v>27</v>
      </c>
      <c r="R180">
        <v>12</v>
      </c>
      <c r="S180">
        <v>9.31</v>
      </c>
      <c r="T180" t="s">
        <v>39</v>
      </c>
      <c r="V180" t="s">
        <v>327</v>
      </c>
    </row>
    <row r="181" spans="1:22" x14ac:dyDescent="0.3">
      <c r="A181" t="s">
        <v>299</v>
      </c>
      <c r="B181" t="s">
        <v>300</v>
      </c>
      <c r="C181" t="s">
        <v>45</v>
      </c>
      <c r="D181">
        <v>5</v>
      </c>
      <c r="E181">
        <v>5</v>
      </c>
      <c r="F181">
        <v>5950.16</v>
      </c>
      <c r="G181">
        <f>5+1+1+1+1</f>
        <v>9</v>
      </c>
      <c r="H181">
        <v>0</v>
      </c>
      <c r="I181">
        <v>0</v>
      </c>
      <c r="J181">
        <v>0</v>
      </c>
      <c r="K181">
        <v>20</v>
      </c>
      <c r="L181">
        <v>5965</v>
      </c>
      <c r="M181" s="1">
        <v>5000</v>
      </c>
      <c r="N181" s="2">
        <v>45803</v>
      </c>
      <c r="O181" s="2">
        <v>46885</v>
      </c>
      <c r="Q181" t="s">
        <v>27</v>
      </c>
      <c r="R181">
        <v>36</v>
      </c>
      <c r="S181" t="s">
        <v>59</v>
      </c>
      <c r="T181" t="s">
        <v>233</v>
      </c>
      <c r="V181" t="s">
        <v>327</v>
      </c>
    </row>
    <row r="182" spans="1:22" x14ac:dyDescent="0.3">
      <c r="A182" t="s">
        <v>301</v>
      </c>
      <c r="B182" t="s">
        <v>302</v>
      </c>
      <c r="C182" t="s">
        <v>45</v>
      </c>
      <c r="D182">
        <v>40</v>
      </c>
      <c r="E182">
        <v>20</v>
      </c>
      <c r="F182">
        <v>1019.58</v>
      </c>
      <c r="G182">
        <f>1+2+4+1+2+25+2+3+1+1+3+14+1+3+1+5+21+1+1+1</f>
        <v>93</v>
      </c>
      <c r="H182">
        <v>1026.8</v>
      </c>
      <c r="I182">
        <v>20</v>
      </c>
      <c r="J182">
        <f>30+1008+10+1+6+3+13+25+14+4+10+41+1+2+11+1+10+74+19+1</f>
        <v>1284</v>
      </c>
      <c r="K182">
        <v>20</v>
      </c>
      <c r="L182">
        <v>1026.9000000000001</v>
      </c>
      <c r="M182">
        <v>1000</v>
      </c>
      <c r="N182" s="2">
        <v>45996</v>
      </c>
      <c r="O182" s="2">
        <v>46363</v>
      </c>
      <c r="Q182" t="s">
        <v>27</v>
      </c>
      <c r="R182">
        <v>12</v>
      </c>
      <c r="S182">
        <v>14.24</v>
      </c>
      <c r="T182" t="s">
        <v>39</v>
      </c>
      <c r="V182" t="s">
        <v>327</v>
      </c>
    </row>
    <row r="183" spans="1:22" x14ac:dyDescent="0.3">
      <c r="A183" t="s">
        <v>303</v>
      </c>
      <c r="B183" t="s">
        <v>302</v>
      </c>
      <c r="C183" t="s">
        <v>45</v>
      </c>
      <c r="D183">
        <v>26</v>
      </c>
      <c r="E183">
        <v>15</v>
      </c>
      <c r="F183">
        <v>1046.67</v>
      </c>
      <c r="G183">
        <f>1+1+2+3+1+2+3+3+7+3+50+148+1+2+1</f>
        <v>228</v>
      </c>
      <c r="H183">
        <v>1060.98</v>
      </c>
      <c r="I183">
        <v>11</v>
      </c>
      <c r="J183">
        <f>5+2+5+1+5+5+12+4+1+2+2</f>
        <v>44</v>
      </c>
      <c r="K183">
        <v>21</v>
      </c>
      <c r="L183">
        <v>1060.98</v>
      </c>
      <c r="M183" s="1">
        <v>1000</v>
      </c>
      <c r="N183" s="2">
        <v>46045</v>
      </c>
      <c r="O183" s="2">
        <v>46363</v>
      </c>
      <c r="Q183" t="s">
        <v>27</v>
      </c>
      <c r="R183">
        <v>11</v>
      </c>
      <c r="S183">
        <v>4.0199999999999996</v>
      </c>
      <c r="T183" t="s">
        <v>39</v>
      </c>
      <c r="V183" t="s">
        <v>327</v>
      </c>
    </row>
    <row r="184" spans="1:22" x14ac:dyDescent="0.3">
      <c r="A184" t="s">
        <v>304</v>
      </c>
      <c r="B184" t="s">
        <v>305</v>
      </c>
      <c r="C184" t="s">
        <v>45</v>
      </c>
      <c r="D184">
        <v>40</v>
      </c>
      <c r="E184">
        <v>20</v>
      </c>
      <c r="F184">
        <v>1062</v>
      </c>
      <c r="G184">
        <f>1+10+55+3+15+5+239+61+5+1+2+1+7+2+2+1+1+1+1</f>
        <v>413</v>
      </c>
      <c r="H184">
        <v>1080</v>
      </c>
      <c r="I184">
        <v>20</v>
      </c>
      <c r="J184">
        <f>218+55+52+57+4+2+38+1+5+60+3+10+282+1+52+1+4645+6+8+93</f>
        <v>5593</v>
      </c>
      <c r="K184">
        <v>21.5</v>
      </c>
      <c r="L184">
        <v>1076</v>
      </c>
      <c r="M184">
        <v>1000</v>
      </c>
      <c r="N184" s="2">
        <v>45827</v>
      </c>
      <c r="O184" s="2">
        <v>46195</v>
      </c>
      <c r="Q184" t="s">
        <v>27</v>
      </c>
      <c r="R184">
        <v>12</v>
      </c>
      <c r="S184">
        <v>8.24</v>
      </c>
      <c r="T184" t="s">
        <v>39</v>
      </c>
      <c r="U184" t="s">
        <v>306</v>
      </c>
      <c r="V184" t="s">
        <v>327</v>
      </c>
    </row>
    <row r="185" spans="1:22" x14ac:dyDescent="0.3">
      <c r="A185" t="s">
        <v>307</v>
      </c>
      <c r="B185" t="s">
        <v>308</v>
      </c>
      <c r="C185" t="s">
        <v>45</v>
      </c>
      <c r="D185">
        <v>40</v>
      </c>
      <c r="E185">
        <v>2</v>
      </c>
      <c r="F185">
        <v>1032.0999999999999</v>
      </c>
      <c r="G185">
        <f>33+2+1+58+11+1+10+5+3+4+1+18+1+51+12+1+9+102+1+1</f>
        <v>325</v>
      </c>
      <c r="H185">
        <v>1037</v>
      </c>
      <c r="I185">
        <v>20</v>
      </c>
      <c r="J185">
        <f>61+130+100+252+34+323+22+10+14+1+4+5+50+3+34+10+1+15+4+50</f>
        <v>1123</v>
      </c>
      <c r="K185">
        <v>21.75</v>
      </c>
      <c r="L185">
        <v>1037</v>
      </c>
      <c r="M185" s="1">
        <v>1000</v>
      </c>
      <c r="N185" s="2">
        <v>45981</v>
      </c>
      <c r="O185" s="2">
        <v>46349</v>
      </c>
      <c r="Q185" t="s">
        <v>27</v>
      </c>
      <c r="R185">
        <v>12</v>
      </c>
      <c r="S185">
        <v>41.71</v>
      </c>
      <c r="T185" t="s">
        <v>39</v>
      </c>
      <c r="U185" t="s">
        <v>309</v>
      </c>
      <c r="V185" t="s">
        <v>327</v>
      </c>
    </row>
    <row r="186" spans="1:22" x14ac:dyDescent="0.3">
      <c r="A186" t="s">
        <v>310</v>
      </c>
      <c r="B186" t="s">
        <v>47</v>
      </c>
      <c r="C186" t="s">
        <v>45</v>
      </c>
      <c r="D186">
        <v>40</v>
      </c>
      <c r="E186">
        <v>20</v>
      </c>
      <c r="F186">
        <v>1005.9</v>
      </c>
      <c r="G186">
        <f>5+3+5+5+1+14+10+20+2+100+1+3+1+1+3+10+1+3+55+3</f>
        <v>246</v>
      </c>
      <c r="H186">
        <v>1014.43</v>
      </c>
      <c r="I186">
        <v>20</v>
      </c>
      <c r="J186">
        <f>6+1+64+1+5+5+5+10+30+1+4+123+26+1+5+1+2+16+3+8</f>
        <v>317</v>
      </c>
      <c r="K186">
        <v>18.5</v>
      </c>
      <c r="L186">
        <v>1014.43</v>
      </c>
      <c r="M186">
        <v>1000</v>
      </c>
      <c r="N186" s="2">
        <v>46010</v>
      </c>
      <c r="O186" s="2">
        <v>46377</v>
      </c>
      <c r="Q186" t="s">
        <v>27</v>
      </c>
      <c r="R186">
        <v>12</v>
      </c>
      <c r="S186">
        <v>6.08</v>
      </c>
      <c r="T186" t="s">
        <v>39</v>
      </c>
      <c r="U186" t="s">
        <v>306</v>
      </c>
      <c r="V186" t="s">
        <v>327</v>
      </c>
    </row>
    <row r="187" spans="1:22" x14ac:dyDescent="0.3">
      <c r="A187" t="s">
        <v>311</v>
      </c>
      <c r="B187" t="s">
        <v>47</v>
      </c>
      <c r="C187" t="s">
        <v>45</v>
      </c>
      <c r="D187">
        <v>40</v>
      </c>
      <c r="E187">
        <v>20</v>
      </c>
      <c r="F187">
        <v>1002.1</v>
      </c>
      <c r="G187">
        <f>4+37+6+47+1+1+138+1+180+5+2+3+2+3+24+5+117+31+12+152</f>
        <v>771</v>
      </c>
      <c r="H187">
        <v>1004.54</v>
      </c>
      <c r="I187">
        <v>20</v>
      </c>
      <c r="J187">
        <f>1+1+10+10+32+43+1+5+2+21+1+1+5+100+3+10+6+98+53+20</f>
        <v>423</v>
      </c>
      <c r="K187">
        <v>17</v>
      </c>
      <c r="L187">
        <v>1004.4</v>
      </c>
      <c r="M187" s="1">
        <v>1000</v>
      </c>
      <c r="N187" s="2">
        <v>46106</v>
      </c>
      <c r="O187" s="2">
        <v>46472</v>
      </c>
      <c r="Q187" t="s">
        <v>27</v>
      </c>
      <c r="R187">
        <v>12</v>
      </c>
      <c r="S187">
        <v>3.26</v>
      </c>
      <c r="T187" t="s">
        <v>39</v>
      </c>
      <c r="U187" t="s">
        <v>306</v>
      </c>
      <c r="V187" t="s">
        <v>327</v>
      </c>
    </row>
    <row r="188" spans="1:22" x14ac:dyDescent="0.3">
      <c r="A188" t="s">
        <v>312</v>
      </c>
      <c r="B188" t="s">
        <v>313</v>
      </c>
      <c r="C188" t="s">
        <v>45</v>
      </c>
      <c r="D188">
        <v>40</v>
      </c>
      <c r="E188">
        <v>20</v>
      </c>
      <c r="F188">
        <v>1007.05</v>
      </c>
      <c r="G188">
        <f>1+2+2+5+3+2+9+9+1+4+50+2+10+5+3+10+1+30+102+5</f>
        <v>256</v>
      </c>
      <c r="H188">
        <v>1022.88</v>
      </c>
      <c r="I188">
        <v>20</v>
      </c>
      <c r="J188">
        <f>4+9+10+11+5+5+2+8+8+7+6+172+1+5+6+1+1+10+1+2</f>
        <v>274</v>
      </c>
      <c r="K188">
        <v>21</v>
      </c>
      <c r="L188">
        <v>1022.89</v>
      </c>
      <c r="M188">
        <v>1000</v>
      </c>
      <c r="N188" s="2">
        <v>46008</v>
      </c>
      <c r="O188" s="2">
        <v>46374</v>
      </c>
      <c r="Q188" t="s">
        <v>27</v>
      </c>
      <c r="R188">
        <v>12</v>
      </c>
      <c r="S188">
        <v>8.6300000000000008</v>
      </c>
      <c r="T188" t="s">
        <v>39</v>
      </c>
      <c r="V188" t="s">
        <v>327</v>
      </c>
    </row>
    <row r="189" spans="1:22" x14ac:dyDescent="0.3">
      <c r="A189" t="s">
        <v>7</v>
      </c>
      <c r="B189" t="s">
        <v>8</v>
      </c>
      <c r="C189" t="s">
        <v>45</v>
      </c>
      <c r="D189">
        <f t="shared" ref="D189:D197" si="0">E189+I189</f>
        <v>15</v>
      </c>
      <c r="E189">
        <v>7</v>
      </c>
      <c r="F189">
        <v>1030</v>
      </c>
      <c r="G189">
        <f>82+55+41+41+41+34+41+99</f>
        <v>434</v>
      </c>
      <c r="H189">
        <v>900</v>
      </c>
      <c r="I189">
        <f>2+6</f>
        <v>8</v>
      </c>
      <c r="J189">
        <v>14</v>
      </c>
      <c r="K189">
        <v>23</v>
      </c>
      <c r="M189" s="1">
        <v>1000</v>
      </c>
      <c r="N189" s="2">
        <v>46059</v>
      </c>
      <c r="O189" s="2">
        <v>46240</v>
      </c>
      <c r="P189" s="2">
        <v>46240</v>
      </c>
      <c r="Q189" t="s">
        <v>27</v>
      </c>
      <c r="R189">
        <v>6</v>
      </c>
      <c r="S189" t="s">
        <v>59</v>
      </c>
      <c r="T189" t="s">
        <v>39</v>
      </c>
      <c r="V189" t="s">
        <v>328</v>
      </c>
    </row>
    <row r="190" spans="1:22" x14ac:dyDescent="0.3">
      <c r="A190" t="s">
        <v>11</v>
      </c>
      <c r="B190" t="s">
        <v>12</v>
      </c>
      <c r="C190" t="s">
        <v>45</v>
      </c>
      <c r="D190">
        <f t="shared" si="0"/>
        <v>1</v>
      </c>
      <c r="E190">
        <v>0</v>
      </c>
      <c r="F190">
        <v>0</v>
      </c>
      <c r="G190">
        <v>0</v>
      </c>
      <c r="H190">
        <v>1000</v>
      </c>
      <c r="I190">
        <v>1</v>
      </c>
      <c r="J190">
        <v>11</v>
      </c>
      <c r="K190">
        <v>24</v>
      </c>
      <c r="M190" s="1">
        <v>1000</v>
      </c>
      <c r="N190" s="2">
        <v>46066</v>
      </c>
      <c r="O190" s="2">
        <v>46339</v>
      </c>
      <c r="P190" s="2">
        <v>46339</v>
      </c>
      <c r="Q190" t="s">
        <v>27</v>
      </c>
      <c r="R190">
        <v>9</v>
      </c>
      <c r="S190" t="s">
        <v>59</v>
      </c>
      <c r="T190" t="s">
        <v>39</v>
      </c>
      <c r="V190" t="s">
        <v>328</v>
      </c>
    </row>
    <row r="191" spans="1:22" x14ac:dyDescent="0.3">
      <c r="A191" t="s">
        <v>9</v>
      </c>
      <c r="B191" t="s">
        <v>13</v>
      </c>
      <c r="C191" t="s">
        <v>45</v>
      </c>
      <c r="D191">
        <f t="shared" si="0"/>
        <v>1</v>
      </c>
      <c r="E191">
        <v>1</v>
      </c>
      <c r="F191">
        <v>1100</v>
      </c>
      <c r="G191">
        <v>9</v>
      </c>
      <c r="H191">
        <v>0</v>
      </c>
      <c r="I191">
        <v>0</v>
      </c>
      <c r="J191">
        <v>0</v>
      </c>
      <c r="K191">
        <v>23</v>
      </c>
      <c r="M191">
        <v>1100</v>
      </c>
      <c r="N191" s="2">
        <v>46021</v>
      </c>
      <c r="O191" s="2">
        <v>46266</v>
      </c>
      <c r="P191" s="2">
        <v>46266</v>
      </c>
      <c r="Q191" t="s">
        <v>27</v>
      </c>
      <c r="R191">
        <v>10</v>
      </c>
      <c r="S191" t="s">
        <v>59</v>
      </c>
      <c r="T191" t="s">
        <v>39</v>
      </c>
      <c r="V191" t="s">
        <v>328</v>
      </c>
    </row>
    <row r="192" spans="1:22" x14ac:dyDescent="0.3">
      <c r="A192" t="s">
        <v>15</v>
      </c>
      <c r="B192" t="s">
        <v>14</v>
      </c>
      <c r="C192" t="s">
        <v>45</v>
      </c>
      <c r="D192">
        <f t="shared" si="0"/>
        <v>1</v>
      </c>
      <c r="E192">
        <v>1</v>
      </c>
      <c r="F192">
        <v>1100</v>
      </c>
      <c r="G192">
        <v>34</v>
      </c>
      <c r="H192">
        <v>0</v>
      </c>
      <c r="I192">
        <v>0</v>
      </c>
      <c r="J192">
        <v>0</v>
      </c>
      <c r="K192">
        <v>24</v>
      </c>
      <c r="M192">
        <v>1100</v>
      </c>
      <c r="N192" s="2">
        <v>45803</v>
      </c>
      <c r="O192" s="2">
        <v>46168</v>
      </c>
      <c r="P192" s="2">
        <v>46168</v>
      </c>
      <c r="Q192" t="s">
        <v>27</v>
      </c>
      <c r="R192">
        <v>12</v>
      </c>
      <c r="S192" t="s">
        <v>59</v>
      </c>
      <c r="T192" t="s">
        <v>39</v>
      </c>
      <c r="V192" t="s">
        <v>328</v>
      </c>
    </row>
    <row r="193" spans="1:22" x14ac:dyDescent="0.3">
      <c r="A193" t="s">
        <v>16</v>
      </c>
      <c r="B193" t="s">
        <v>17</v>
      </c>
      <c r="C193" t="s">
        <v>45</v>
      </c>
      <c r="D193">
        <f t="shared" si="0"/>
        <v>5</v>
      </c>
      <c r="E193">
        <v>4</v>
      </c>
      <c r="F193">
        <v>1039</v>
      </c>
      <c r="G193">
        <f>42+17</f>
        <v>59</v>
      </c>
      <c r="H193">
        <v>900</v>
      </c>
      <c r="I193">
        <v>1</v>
      </c>
      <c r="J193">
        <v>6</v>
      </c>
      <c r="K193">
        <v>23</v>
      </c>
      <c r="M193">
        <v>1000</v>
      </c>
      <c r="N193" s="2">
        <v>46087</v>
      </c>
      <c r="O193" s="2">
        <v>46269</v>
      </c>
      <c r="P193" s="2">
        <v>46269</v>
      </c>
      <c r="Q193" t="s">
        <v>27</v>
      </c>
      <c r="R193">
        <v>6</v>
      </c>
      <c r="S193" t="s">
        <v>59</v>
      </c>
      <c r="T193" t="s">
        <v>39</v>
      </c>
      <c r="V193" t="s">
        <v>328</v>
      </c>
    </row>
    <row r="194" spans="1:22" x14ac:dyDescent="0.3">
      <c r="A194" t="s">
        <v>18</v>
      </c>
      <c r="B194" t="s">
        <v>12</v>
      </c>
      <c r="C194" t="s">
        <v>45</v>
      </c>
      <c r="D194">
        <f t="shared" si="0"/>
        <v>4</v>
      </c>
      <c r="E194">
        <v>3</v>
      </c>
      <c r="F194">
        <v>1044.99</v>
      </c>
      <c r="G194">
        <f>2+4+45+2</f>
        <v>53</v>
      </c>
      <c r="H194">
        <v>1000</v>
      </c>
      <c r="I194">
        <v>1</v>
      </c>
      <c r="J194">
        <v>11</v>
      </c>
      <c r="K194">
        <v>22</v>
      </c>
      <c r="M194">
        <v>1000</v>
      </c>
      <c r="N194" s="2">
        <v>46134</v>
      </c>
      <c r="O194" s="2">
        <v>46409</v>
      </c>
      <c r="P194" s="2">
        <v>46409</v>
      </c>
      <c r="Q194" t="s">
        <v>27</v>
      </c>
      <c r="R194">
        <v>7</v>
      </c>
      <c r="S194" t="s">
        <v>59</v>
      </c>
      <c r="T194" t="s">
        <v>39</v>
      </c>
      <c r="V194" t="s">
        <v>328</v>
      </c>
    </row>
    <row r="195" spans="1:22" x14ac:dyDescent="0.3">
      <c r="A195" t="s">
        <v>19</v>
      </c>
      <c r="B195" t="s">
        <v>17</v>
      </c>
      <c r="C195" t="s">
        <v>45</v>
      </c>
      <c r="D195">
        <f t="shared" si="0"/>
        <v>3</v>
      </c>
      <c r="E195">
        <v>1</v>
      </c>
      <c r="F195">
        <v>1100</v>
      </c>
      <c r="G195">
        <v>3</v>
      </c>
      <c r="H195">
        <v>900</v>
      </c>
      <c r="I195">
        <v>2</v>
      </c>
      <c r="J195">
        <v>20</v>
      </c>
      <c r="K195">
        <v>23</v>
      </c>
      <c r="M195">
        <v>1000</v>
      </c>
      <c r="N195" s="2">
        <v>46132</v>
      </c>
      <c r="O195" s="2">
        <v>46407</v>
      </c>
      <c r="P195" s="2">
        <v>46407</v>
      </c>
      <c r="Q195" t="s">
        <v>27</v>
      </c>
      <c r="R195">
        <v>7</v>
      </c>
      <c r="S195" t="s">
        <v>59</v>
      </c>
      <c r="T195" t="s">
        <v>39</v>
      </c>
      <c r="V195" t="s">
        <v>328</v>
      </c>
    </row>
    <row r="196" spans="1:22" x14ac:dyDescent="0.3">
      <c r="A196" t="s">
        <v>20</v>
      </c>
      <c r="B196" t="s">
        <v>21</v>
      </c>
      <c r="C196" t="s">
        <v>45</v>
      </c>
      <c r="D196">
        <f t="shared" si="0"/>
        <v>2</v>
      </c>
      <c r="E196">
        <v>1</v>
      </c>
      <c r="F196">
        <v>1100</v>
      </c>
      <c r="G196">
        <v>86</v>
      </c>
      <c r="H196">
        <v>1000</v>
      </c>
      <c r="I196">
        <v>1</v>
      </c>
      <c r="J196">
        <v>5</v>
      </c>
      <c r="K196">
        <v>22.01</v>
      </c>
      <c r="M196">
        <v>1000</v>
      </c>
      <c r="N196" s="2">
        <v>46142</v>
      </c>
      <c r="O196" s="2">
        <v>46233</v>
      </c>
      <c r="P196" s="2">
        <v>46233</v>
      </c>
      <c r="Q196" t="s">
        <v>27</v>
      </c>
      <c r="R196">
        <v>3</v>
      </c>
      <c r="S196" t="s">
        <v>59</v>
      </c>
      <c r="T196" t="s">
        <v>39</v>
      </c>
      <c r="V196" t="s">
        <v>328</v>
      </c>
    </row>
    <row r="197" spans="1:22" x14ac:dyDescent="0.3">
      <c r="A197" t="s">
        <v>22</v>
      </c>
      <c r="B197" t="s">
        <v>321</v>
      </c>
      <c r="C197" t="s">
        <v>45</v>
      </c>
      <c r="D197">
        <f t="shared" si="0"/>
        <v>2</v>
      </c>
      <c r="E197">
        <v>2</v>
      </c>
      <c r="F197">
        <v>1030</v>
      </c>
      <c r="G197">
        <f>13+50</f>
        <v>63</v>
      </c>
      <c r="H197">
        <v>0</v>
      </c>
      <c r="I197">
        <v>0</v>
      </c>
      <c r="J197">
        <v>0</v>
      </c>
      <c r="K197">
        <v>29.08</v>
      </c>
      <c r="M197">
        <v>1000</v>
      </c>
      <c r="N197" s="2">
        <v>45811</v>
      </c>
      <c r="O197" s="2">
        <v>46182</v>
      </c>
      <c r="P197" s="2">
        <v>46000</v>
      </c>
      <c r="Q197" t="s">
        <v>27</v>
      </c>
      <c r="R197">
        <v>12</v>
      </c>
      <c r="S197">
        <v>23.04</v>
      </c>
      <c r="T197" t="s">
        <v>39</v>
      </c>
      <c r="V197" t="s">
        <v>328</v>
      </c>
    </row>
    <row r="198" spans="1:22" x14ac:dyDescent="0.3">
      <c r="A198" t="s">
        <v>314</v>
      </c>
      <c r="B198" t="s">
        <v>322</v>
      </c>
      <c r="C198" t="s">
        <v>323</v>
      </c>
      <c r="D198">
        <v>1</v>
      </c>
      <c r="E198">
        <v>1</v>
      </c>
      <c r="F198" s="1">
        <v>10000</v>
      </c>
      <c r="G198">
        <v>1</v>
      </c>
      <c r="H198">
        <v>0</v>
      </c>
      <c r="I198">
        <v>0</v>
      </c>
      <c r="J198">
        <v>0</v>
      </c>
      <c r="K198" t="s">
        <v>315</v>
      </c>
      <c r="M198">
        <v>9373</v>
      </c>
      <c r="N198" s="2">
        <v>46125</v>
      </c>
      <c r="O198" s="2">
        <v>46308</v>
      </c>
      <c r="P198" s="2">
        <v>46308</v>
      </c>
      <c r="Q198" t="s">
        <v>96</v>
      </c>
      <c r="R198">
        <v>6</v>
      </c>
      <c r="S198" t="s">
        <v>59</v>
      </c>
      <c r="T198" t="s">
        <v>40</v>
      </c>
      <c r="V198" t="s">
        <v>328</v>
      </c>
    </row>
    <row r="199" spans="1:22" x14ac:dyDescent="0.3">
      <c r="A199" t="s">
        <v>324</v>
      </c>
      <c r="B199" t="s">
        <v>317</v>
      </c>
      <c r="C199" t="s">
        <v>45</v>
      </c>
      <c r="D199">
        <v>2</v>
      </c>
      <c r="E199">
        <v>2</v>
      </c>
      <c r="F199">
        <v>1199</v>
      </c>
      <c r="G199">
        <f>6+39</f>
        <v>45</v>
      </c>
      <c r="H199">
        <v>0</v>
      </c>
      <c r="I199">
        <v>0</v>
      </c>
      <c r="J199">
        <v>0</v>
      </c>
      <c r="K199" t="s">
        <v>315</v>
      </c>
      <c r="M199">
        <v>1000</v>
      </c>
      <c r="N199" s="2">
        <v>46101</v>
      </c>
      <c r="O199" s="2">
        <v>46192</v>
      </c>
      <c r="P199" s="2">
        <v>46192</v>
      </c>
      <c r="Q199" t="s">
        <v>96</v>
      </c>
      <c r="R199" s="3">
        <v>3</v>
      </c>
      <c r="S199" t="s">
        <v>59</v>
      </c>
      <c r="T199" t="s">
        <v>39</v>
      </c>
      <c r="U199" t="s">
        <v>169</v>
      </c>
      <c r="V199" t="s">
        <v>328</v>
      </c>
    </row>
    <row r="200" spans="1:22" x14ac:dyDescent="0.3">
      <c r="A200" t="s">
        <v>319</v>
      </c>
      <c r="B200" t="s">
        <v>320</v>
      </c>
      <c r="C200" t="s">
        <v>45</v>
      </c>
      <c r="D200">
        <v>1</v>
      </c>
      <c r="E200">
        <v>0</v>
      </c>
      <c r="F200">
        <v>0</v>
      </c>
      <c r="G200">
        <v>0</v>
      </c>
      <c r="H200">
        <v>70.2</v>
      </c>
      <c r="I200">
        <v>1</v>
      </c>
      <c r="J200">
        <v>13</v>
      </c>
      <c r="K200" t="s">
        <v>315</v>
      </c>
      <c r="M200">
        <v>82.13</v>
      </c>
      <c r="N200" s="2">
        <v>46108</v>
      </c>
      <c r="O200" s="2">
        <v>46169</v>
      </c>
      <c r="P200" s="2">
        <v>46169</v>
      </c>
      <c r="Q200" t="s">
        <v>96</v>
      </c>
      <c r="R200">
        <v>2</v>
      </c>
      <c r="S200" t="s">
        <v>59</v>
      </c>
      <c r="T200" t="s">
        <v>40</v>
      </c>
      <c r="U200" t="s">
        <v>325</v>
      </c>
      <c r="V200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Токеон</vt:lpstr>
      <vt:lpstr>А-токен</vt:lpstr>
      <vt:lpstr>Атомайз</vt:lpstr>
      <vt:lpstr>Total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Виничук Никита Сергеевич</dc:creator>
  <cp:lastModifiedBy>Виничук Никита Сергеевич</cp:lastModifiedBy>
  <cp:lastPrinted>2026-05-08T01:56:03Z</cp:lastPrinted>
  <dcterms:created xsi:type="dcterms:W3CDTF">2026-05-04T01:02:34Z</dcterms:created>
  <dcterms:modified xsi:type="dcterms:W3CDTF">2026-06-03T04:56:39Z</dcterms:modified>
</cp:coreProperties>
</file>